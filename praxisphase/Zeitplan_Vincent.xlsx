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cker" sheetId="1" r:id="rId4"/>
    <sheet name="Zeitplaner" sheetId="2" r:id="rId5"/>
    <sheet name="Daily" sheetId="3" r:id="rId6"/>
  </sheets>
</workbook>
</file>

<file path=xl/sharedStrings.xml><?xml version="1.0" encoding="utf-8"?>
<sst xmlns="http://schemas.openxmlformats.org/spreadsheetml/2006/main" uniqueCount="300">
  <si>
    <t>Praxisphase Tracker</t>
  </si>
  <si>
    <t>Datum</t>
  </si>
  <si>
    <t>Beginn</t>
  </si>
  <si>
    <t>Ende</t>
  </si>
  <si>
    <t>Dauer</t>
  </si>
  <si>
    <t>Beschreibung</t>
  </si>
  <si>
    <t>Notizen für Bericht</t>
  </si>
  <si>
    <t>NRL Jour Fixe</t>
  </si>
  <si>
    <t>Vorarbeiten Total</t>
  </si>
  <si>
    <t>Shadertoy Morf2</t>
  </si>
  <si>
    <t>xy inside of polygon, Manfred’s Code getestet</t>
  </si>
  <si>
    <t xml:space="preserve">OpenScad Tutorial </t>
  </si>
  <si>
    <t>Anruf mit Manfred</t>
  </si>
  <si>
    <t>Todos: GLSL docu, c++ tutorial zu shader, Parameter aus Shdertoy lesen, Multipass Shader, Mannigfaltigkeit, (Latex, Geos, Box2D)</t>
  </si>
  <si>
    <t>LearnOpenGL, IDE vorbereiten</t>
  </si>
  <si>
    <t>Mit Visual Studio 2019 für Mac, XCode, GLFW, CMake, OpenGL, Metal rumgeschlagen</t>
  </si>
  <si>
    <t>Xcode für C++ und OpenGL tauglich machen</t>
  </si>
  <si>
    <t>Mit Moritz über PF auf Minibot geredet</t>
  </si>
  <si>
    <t>LearnOpenGL</t>
  </si>
  <si>
    <t>Tutorial auf PC: Seite 1 - 20 erledigt</t>
  </si>
  <si>
    <t>Seite 23, Fenster erzeugt auf PC und Mac</t>
  </si>
  <si>
    <t>Vertex Shader, Fragment Shader, Tutorial auf Mac und PC bis Seite 34, zwischen drin mit Moritz telefoniert</t>
  </si>
  <si>
    <t>Rosen Anruf</t>
  </si>
  <si>
    <t xml:space="preserve">Nur kurzer Anruf, wegen schlechter Verbindung verschoben </t>
  </si>
  <si>
    <t>LearnOpenGL, Latex</t>
  </si>
  <si>
    <t>Tutorial bis Seite 37, CLAWAR</t>
  </si>
  <si>
    <t>Jour Fixe Präzis vorbereitet</t>
  </si>
  <si>
    <t>Shadertoy Morf3</t>
  </si>
  <si>
    <t>Width, Height, Multishader</t>
  </si>
  <si>
    <t>Latex Shop detested, Latex in Atom</t>
  </si>
  <si>
    <r>
      <rPr>
        <u val="single"/>
        <sz val="10"/>
        <color indexed="8"/>
        <rFont val="Helvetica Neue"/>
      </rPr>
      <t>https://jinglescode.github.io/2020/04/25/setup-latex-atom/</t>
    </r>
  </si>
  <si>
    <t>Energy Funktion versucht</t>
  </si>
  <si>
    <t>LearnLatex</t>
  </si>
  <si>
    <t>Latex Basics Angeschaut, Überfolgen</t>
  </si>
  <si>
    <t>Woche #1 Total</t>
  </si>
  <si>
    <t>Besprechung mit Manfred</t>
  </si>
  <si>
    <t xml:space="preserve">SVN (SmartSVN, TortoiseSVN), Bilder in Tex (Schwarzweiß und Vektoren), Shader in c++, GNU Plot, Matlab/Scilab, Neue Shader Ideen </t>
  </si>
  <si>
    <t>Latex, SVN</t>
  </si>
  <si>
    <t>auf PC TortoiseSVN und TechLive installiert / getestet</t>
  </si>
  <si>
    <t xml:space="preserve">Energy Formel versucht, Code aufgeräumt, </t>
  </si>
  <si>
    <t>Energy eingebaut und getestet</t>
  </si>
  <si>
    <t>noch mehr an der Energie gefeilt, könnte jetzt passen</t>
  </si>
  <si>
    <t>Scilab Code Verstehen</t>
  </si>
  <si>
    <t>Lektion 1-8 geschafft</t>
  </si>
  <si>
    <t>Lektion 9-13 geschafft</t>
  </si>
  <si>
    <t>Hot and Cold, und Color Levels zum konvertieren in SVGs</t>
  </si>
  <si>
    <t>Phasenraumbilder und Roboterpose</t>
  </si>
  <si>
    <t>Interessante Posen gelabelt und Screenshots gemacht, verschiedene Online Tools zum vectorizen getestet (keine gutes dabei)</t>
  </si>
  <si>
    <t>Grayscale, Bugfixes und Illustrator getestet</t>
  </si>
  <si>
    <t>TikZ</t>
  </si>
  <si>
    <t>Seite 30 - 41 (Tutorial 1 angefangen)</t>
  </si>
  <si>
    <t>Seite 41 - 49 (Tutorial 1 fertig)</t>
  </si>
  <si>
    <t>Seite 50 - 57 (Tutorial 2 angefangen)</t>
  </si>
  <si>
    <t>TikZ, Roboter Postures</t>
  </si>
  <si>
    <t>Seite 57 - 61 (Tutorial 2 fertig, Tutorial 3 angefangen)</t>
  </si>
  <si>
    <t>Woche #2 Total</t>
  </si>
  <si>
    <t>Text anzeigen</t>
  </si>
  <si>
    <t>ToDo: Polygone in TikZ, 2 Gelenke in Shadertoy</t>
  </si>
  <si>
    <t>Shadertoy Morf3, SmartSVN</t>
  </si>
  <si>
    <t>Semnicode in Scilab, Morf4</t>
  </si>
  <si>
    <t>Code nach voll ziehen, um mehr Gelenke in Shadertoy ein zu bauen</t>
  </si>
  <si>
    <t>Tikz Data Visualization</t>
  </si>
  <si>
    <t>Tex Dimensionen eingeschränkt, Python Skript zum Skalieren, CVS können geplättet werden</t>
  </si>
  <si>
    <t>Daten von Semni punkte trennen</t>
  </si>
  <si>
    <t>Tikz Data Visualization, PGFplots</t>
  </si>
  <si>
    <t>Scilab Code Verstehen, TikZ foreach, CSVSimple, PGF Plots …</t>
  </si>
  <si>
    <t>PGFplots, Python</t>
  </si>
  <si>
    <t>Semni, Koordinaten transformieren, Pythonskript zum schnellen transformieren geschrieben</t>
  </si>
  <si>
    <t>TikZ, PGFplots</t>
  </si>
  <si>
    <t>Mit TikZ und pgfplot phasenräume beschriften, Bilder anzeigen</t>
  </si>
  <si>
    <t>Rosen Anruf, SVN mit Henrik</t>
  </si>
  <si>
    <t>CLAWAR Paper Todos Besprochen: Subfigure in Latex, Markieren / Beschriften von Punkten, öffentliche Shadertoy, Bunte und druckbare Muster im Phasenraum</t>
  </si>
  <si>
    <t>Shadertoy Morf4</t>
  </si>
  <si>
    <t>Pfeil Muster</t>
  </si>
  <si>
    <t>Besprechung mit Manfred, Morf4, Img2</t>
  </si>
  <si>
    <t>Am Paper für CLAWAR gearbeitet: Rectangluar-Bot eingebaut, Achsen Beschriftungen, schöner Phasenraum, Steller markieren</t>
  </si>
  <si>
    <t>Woche #3 Total</t>
  </si>
  <si>
    <t>Img2</t>
  </si>
  <si>
    <t>Groundlinie verbessert</t>
  </si>
  <si>
    <t>Cogs und Joints mit Scatter plot in die Grafik eingefügt, Pythonskript flexibel gemacht -&gt; Outline von Semni und Rectbot, Marker finetuning</t>
  </si>
  <si>
    <t>C++ Projekte ins SVN reinholen, Erklärung für das Setup eines Xcode Projektes, Tutorial Seite 37 - 40</t>
  </si>
  <si>
    <t>Two Triangles Excersise, Seite 41 - 47, Uniforms, animierte Farben</t>
  </si>
  <si>
    <t>Seite 41 - 53, Shader Code in separaten Files, Shader programm classe erstellt</t>
  </si>
  <si>
    <t>LearnCpp</t>
  </si>
  <si>
    <t>Lesson 1.5 - 2.8: iostream, namespaces, sopes, intializing</t>
  </si>
  <si>
    <t>Lesson 2.9 - 4.7: froward declarations, preprocessor, data types in c++</t>
  </si>
  <si>
    <t>Besuch bei Manfred</t>
  </si>
  <si>
    <t>Lesson 4.8 - 6.16: const/costexpr, operators, linkage, coercion</t>
  </si>
  <si>
    <t>Seite 54 - 62, Texturen</t>
  </si>
  <si>
    <t>Woche #4 Total</t>
  </si>
  <si>
    <t>Lesson 6.17 - 8.3: Flow Control, Enums, Structs</t>
  </si>
  <si>
    <t>LearnCpp, MorfMaker</t>
  </si>
  <si>
    <t>Lesson 8.4 - 9.14: Structs, Arrays, Pointer, Memory Allocation; Koordinate mit C++ aus .csv einlesen, und transformieren</t>
  </si>
  <si>
    <t>MorfMaker</t>
  </si>
  <si>
    <t>Kommentare, Bugfixing, Rototer in GL anzeigen angefangen</t>
  </si>
  <si>
    <t>Rototer in GL anzeigen fertig</t>
  </si>
  <si>
    <t>TAROS Todos: Semni in den Shader, Schmal - Breit - Maniigfaltigkeit, Diagonale schnitte von Mannigfaltigkeit, Abstand von fuße vs Verlagerung des Cog</t>
  </si>
  <si>
    <t>Shadertoy Morf5</t>
  </si>
  <si>
    <t>Semnis koordinaten dezimieren, in Shadertoy packen</t>
  </si>
  <si>
    <t>Shadertoy Morf5, Besprechung mit Manfred</t>
  </si>
  <si>
    <t>Variable Dicke eingebaut</t>
  </si>
  <si>
    <t>Shadertoy Morf6, Besprechung mit Manfred</t>
  </si>
  <si>
    <t>Variable Dicke Verbessert, Configuration Space</t>
  </si>
  <si>
    <t xml:space="preserve">Shadertoy Morf6 </t>
  </si>
  <si>
    <t>Configuration Space</t>
  </si>
  <si>
    <t>Bugfixing</t>
  </si>
  <si>
    <t>Shadertoy Morf1, Morf6</t>
  </si>
  <si>
    <t>Code aufgeräumt</t>
  </si>
  <si>
    <t>Tikz</t>
  </si>
  <si>
    <t>Semni Konfigurationsraum Grafik angefangen.</t>
  </si>
  <si>
    <t xml:space="preserve">Shader toy Morf7, Besprechung mit Manfred </t>
  </si>
  <si>
    <t>Game of Life, Persistence in Shadern, Animation der Fall Bewegung,</t>
  </si>
  <si>
    <t>Problem des Zitterns/Stecken bleibens bei der Animation lösen</t>
  </si>
  <si>
    <t>Woche #5 Total</t>
  </si>
  <si>
    <t>Shadertoy Morf8</t>
  </si>
  <si>
    <t>Andere Transformationsformeln getestet, Diskrete Buffer abfrage getestet, Code aufgeräumt,</t>
  </si>
  <si>
    <t>Smeni Amimert, Winkel werden geprinted</t>
  </si>
  <si>
    <t>Img4, Tikz</t>
  </si>
  <si>
    <t>Semni-Lauf-Grafik für TAROS weitergearbeitet</t>
  </si>
  <si>
    <t>USB App Recherche</t>
  </si>
  <si>
    <t>Get Console, Redpark</t>
  </si>
  <si>
    <t>TikZ, Shadertoy Morf 8</t>
  </si>
  <si>
    <t>Grafik verbessert, Code aufgeräumt</t>
  </si>
  <si>
    <t>Shadertoy Morf8, Morf9</t>
  </si>
  <si>
    <t>Code aufgeräumt, Animation State Machine verbessert, Mit Rectbot germerged -&gt; crazier Phasenräume</t>
  </si>
  <si>
    <t>Shadertoy Morf9</t>
  </si>
  <si>
    <t xml:space="preserve">Energy, </t>
  </si>
  <si>
    <t>Auf PC Bugs gefixt, Screenshots von verschiedenen Phasen räumen (Stabilität, Höhe, Schwerpunkt, ect.)</t>
  </si>
  <si>
    <t>‚Kästchen entfernt‘</t>
  </si>
  <si>
    <t>Seite 63 - 84, Texturen Mischen, Transformationen, GLM, OpenGl Koordinaten Systeme</t>
  </si>
  <si>
    <t>Neue SVN App gesucht</t>
  </si>
  <si>
    <t>SmartSVN abgelaufen -&gt; wichtige Feature fehlen zB. Ignore, SMC Workbench, iSVN, svnX, SnailSVN</t>
  </si>
  <si>
    <t>Seite 85 - 89, Projection Matrix, Transformationen</t>
  </si>
  <si>
    <t>Seite 90 - 98, Camera</t>
  </si>
  <si>
    <t>Woche #6 Total</t>
  </si>
  <si>
    <t>Lesson 9.15 - 10.9, References, For-Each-Loops, Pointer to Pointer, Iterators, Algorithms Library, Function Overloading, Default Arguments, Function Pointers</t>
  </si>
  <si>
    <t>C++ Morfmaker</t>
  </si>
  <si>
    <t>Platform unabhängiger machen, Projekt strukturieren, Xcode project und VisualCode project in einem SVN Ordner, VS hat noch Probleme mit Ressourcen einlesen</t>
  </si>
  <si>
    <t>TikZ, Img5</t>
  </si>
  <si>
    <t>Collage mit mehreren Screenshots von Phasenräumen</t>
  </si>
  <si>
    <t xml:space="preserve">C++ Morfmaker </t>
  </si>
  <si>
    <t xml:space="preserve">Pfade zu Resource files für Mac&amp;PC, Code läuft aber noch nicht ganz gleich </t>
  </si>
  <si>
    <t>TikZ, Img6</t>
  </si>
  <si>
    <t>Winkel Beschreibung Grafik für Rectbot</t>
  </si>
  <si>
    <t>TikZ, Img6, MorfMaker</t>
  </si>
  <si>
    <t>Grafik verbessert, Flexible Skalierung, MorfMaker läuft auf Windows und Mac</t>
  </si>
  <si>
    <t>Seite 90 - 98, Noch mehr Camera, Bewegen und Zoomen</t>
  </si>
  <si>
    <t>Camera in Morfmaker eingebaut, Code aufgeräumt/kommentiert, OpenGL VAO Erstellung verbessert</t>
  </si>
  <si>
    <t>VAO 3D gemacht</t>
  </si>
  <si>
    <t>Ground hinzugefügt.</t>
  </si>
  <si>
    <t>An Posture Klasse gearbeitet</t>
  </si>
  <si>
    <t>Animation, Code aufgeräumt</t>
  </si>
  <si>
    <t>Self reference Problem aufgekommen</t>
  </si>
  <si>
    <t>Windows .exe zu laufen bringen</t>
  </si>
  <si>
    <t xml:space="preserve">Einige Sachen getestet, Fehlende DLL in Ordner kopiert -&gt; neuer Fehler 0xc000007b </t>
  </si>
  <si>
    <t>Woche #7 Total</t>
  </si>
  <si>
    <t>Lesson 10.10 - 10.15, Stack/Heap, Recursion, Command Line Arguments, Ellipsis, Lambdas</t>
  </si>
  <si>
    <t>Lesson 10.16 - 11.5, Lambda Captures, OOP, Classes, Access Specifier, Constructors</t>
  </si>
  <si>
    <t>Lesson 11.6 - 11.15, List Initializers, Delegating Constructors, this pointer, Friends</t>
  </si>
  <si>
    <t>Lesson 11.16 - 11.18, Anonymous, Nested Types, Timing</t>
  </si>
  <si>
    <t>Morfmaker</t>
  </si>
  <si>
    <t>Encapsulation eingebaut, Vereinfacht &amp; kommentiert, Phasespace angefangen</t>
  </si>
  <si>
    <t>Phasespace findet jetzt mannigfaltigkeiten und verbindet sie unterander</t>
  </si>
  <si>
    <t>Optimiert, Kommentare, Debugging, aufgeräumt. Todo: Mannigfaltigkeit als VAO für OpenGL</t>
  </si>
  <si>
    <t>Besuch bei RoSen Senioren</t>
  </si>
  <si>
    <t>RoSen Notizen aufschreiben</t>
  </si>
  <si>
    <t>Debugging: Manifold Index falsch, Verlinkung nicht konsistent, Resolution hochschrauben nicht geklappt</t>
  </si>
  <si>
    <t>Woche #8 Total</t>
  </si>
  <si>
    <t xml:space="preserve">Besuch bei Manfred </t>
  </si>
  <si>
    <t>Kreissegmente statt Polygonzug, Kegelschnitte, Kuchen essen, Hough-Transformation</t>
  </si>
  <si>
    <t>Python, Diagramme</t>
  </si>
  <si>
    <t>Python zum Experimentieren mit Kreissegmenten, Diagramm von Mannigfaltigkeiten schick gemacht für SVN</t>
  </si>
  <si>
    <t>Kreissegment Tool</t>
  </si>
  <si>
    <t>Matplotlib GUI zum Erstellen von Kreissegmenten angefangen</t>
  </si>
  <si>
    <t>Kreissegment Tool, Mathe (Desmos)</t>
  </si>
  <si>
    <r>
      <rPr>
        <sz val="10"/>
        <color indexed="8"/>
        <rFont val="Helvetica Neue"/>
      </rPr>
      <t xml:space="preserve">GUI fertig gemacht, Für Close-Loop Button: 2 segmente die sich tangential treffen, Kreis über Curavture, einen Punkt und eine Richtung darstellen: </t>
    </r>
    <r>
      <rPr>
        <u val="single"/>
        <sz val="10"/>
        <color indexed="8"/>
        <rFont val="Helvetica Neue"/>
      </rPr>
      <t>https://www.desmos.com/calculator/ppp0z5wnvx</t>
    </r>
    <r>
      <rPr>
        <sz val="10"/>
        <color indexed="8"/>
        <rFont val="Helvetica Neue"/>
      </rPr>
      <t>, Kommentare</t>
    </r>
  </si>
  <si>
    <t>Bugfixing, Release Build, Einsstellung: Static link vs dynamic link (nicht funktioniert)</t>
  </si>
  <si>
    <t xml:space="preserve">Close Shape: Intersection, Newtonverfahren, Debugging, </t>
  </si>
  <si>
    <t>Punkt links einer Linie und Winkel zwischen Vektoren mit Vorzeichen, in GUI einbauen: Close, Undo und Reset-Button</t>
  </si>
  <si>
    <t>Negative Längen, Anfangswerte für Newton</t>
  </si>
  <si>
    <t>Kommentare, Cleanup, Mannigfaltigkeit VAO angefangen</t>
  </si>
  <si>
    <t>VAO fertig, Mannigfaltigkeit wird in OpenGL angezeigt</t>
  </si>
  <si>
    <t>Woche #9 Total</t>
  </si>
  <si>
    <t>(Studium Generale Hausarbeit)</t>
  </si>
  <si>
    <t>Kreissegment Tool, MorfMaker</t>
  </si>
  <si>
    <t>Neuen Release Build und Readme verfasst</t>
  </si>
  <si>
    <t>Woche #10 Total</t>
  </si>
  <si>
    <t>Python, Mathe</t>
  </si>
  <si>
    <t>Überlegung/Rechnungen für Shadertoy, ist Pixel in Segment ?</t>
  </si>
  <si>
    <t>Besprechung mit Manfred und Veronica</t>
  </si>
  <si>
    <t>Verbindung zu OpenScad, RoSen, Datenstruktur Überlegungen, Morphologische Operationen überlegen</t>
  </si>
  <si>
    <t>als Polygondatei für OpenScad exportieren</t>
  </si>
  <si>
    <t>Pixel in Segmentliste angefangen, experimentiert</t>
  </si>
  <si>
    <t>Pixel in Segmentliste funktioniert für Runde, Andere Technik angefangen: Schnittpunkt mit Kreis</t>
  </si>
  <si>
    <t>Shadertoy Morf10</t>
  </si>
  <si>
    <t>ist ein Pixel umschlossen von Kreissegmenten, Strahl-Nach-Link-Methode</t>
  </si>
  <si>
    <t>Python</t>
  </si>
  <si>
    <t>Datenstruktur, MorphOperation ‚Round‘</t>
  </si>
  <si>
    <t>MorphOperation ‚Round‘, Edit Gut angefangen, ‚round‘ noch buggy</t>
  </si>
  <si>
    <t>Rosen Mails, Shadertoy Morf10</t>
  </si>
  <si>
    <t>Mail mit Herr Huppertz und Frau Lenker Brzozowski, Lowest auf Kreissegment</t>
  </si>
  <si>
    <t>Edit Gui mit neuer Datenstruktur und roboter erstellen</t>
  </si>
  <si>
    <t>Python, Kreissegment Tool</t>
  </si>
  <si>
    <t>Neue GUI zum erstellen von Mehreren Kreissegment shapes</t>
  </si>
  <si>
    <t xml:space="preserve">Gui weiter gemacht, grobe Anwendung Funktion, Details fehlen noch </t>
  </si>
  <si>
    <t>Kreissegment Tool, Shadertoy Morf10</t>
  </si>
  <si>
    <t>Reset Funktion verbessert, Export/Speichert angepasst, undo angepasst, Shaddertoy angepasst für mehrere Kreissegment Formel</t>
  </si>
  <si>
    <t>Woche #11 Total</t>
  </si>
  <si>
    <t>(an Bionik Video gearbeitet)</t>
  </si>
  <si>
    <t>Undo Funktion anpassen</t>
  </si>
  <si>
    <t>Rosen Besprechung, Details besprochen mit Christian</t>
  </si>
  <si>
    <t>Testen jeder selber, Kontaktaufnahme wie bisher, Gerne Hardware mitbringen, wenn auch nur zum zeigen, während BA geths weiter, frische Batch von studis macht mit, Termin ort zeit Datum ect.</t>
  </si>
  <si>
    <t>Undo Function fertig, Prints für shadertoy</t>
  </si>
  <si>
    <t>Tex Readme</t>
  </si>
  <si>
    <t>Read me nach Vorbild von Layla angefangen, für das python Kreissegmente tool</t>
  </si>
  <si>
    <t>Kreissegment Tool, Tex</t>
  </si>
  <si>
    <t>Readme weiter, Umstrukturiert, Grafische Anpassungen, Buggs gefixt</t>
  </si>
  <si>
    <t>RoSen Besprechung mit Layla, Moritz und Henrik</t>
  </si>
  <si>
    <t>Was geht: Minibot mit Fernbedienung, Myon Kopf mit Kamera anzeigen und Arm</t>
  </si>
  <si>
    <t>Mit Christian geredet, Kreissegment Tool</t>
  </si>
  <si>
    <t>Code aufgeräumt, Edittool an neue Datenstruktur angepasst und grafisch an Create tool angepasst</t>
  </si>
  <si>
    <t>Edittool: Bearbeitete Roboter speichern, als Openscad datei exportieren, Readme weiter geschrieben</t>
  </si>
  <si>
    <t>Shadertoy Morf10, Readme</t>
  </si>
  <si>
    <t>Bug gefixt Shadertoy funktioniert jetzt richtig, Readme weiter gemacht</t>
  </si>
  <si>
    <t>Readme, Shadertoy Morf10</t>
  </si>
  <si>
    <t>Pivots verbessert MAnifold thickness wird angezeigt, Readme weiter geschrieben</t>
  </si>
  <si>
    <t>Python, Readme, Ordner geordnet, MorfMaker</t>
  </si>
  <si>
    <t>Konvertierung zu txt für c++, Dateien aufgeräumt, Angefangen Morfmaker mit Segmenten</t>
  </si>
  <si>
    <t>MorfMaker, Readme</t>
  </si>
  <si>
    <t>weiter an Segmenten gearbeitet</t>
  </si>
  <si>
    <t>Woche #12 Total</t>
  </si>
  <si>
    <t>Shadertoy Morf11</t>
  </si>
  <si>
    <t>Bug: Gerade Segmente anzeigen, Einige Optimierungen getestet</t>
  </si>
  <si>
    <t>Readme geschrieben</t>
  </si>
  <si>
    <t>Exportieren für Shadertoy und Openscad</t>
  </si>
  <si>
    <t>Problem mit stbi_lib gefixt, Seite 109 - 128: Lighting, Phong-Lighting, Materials</t>
  </si>
  <si>
    <t xml:space="preserve">(Chapter 8 wurde neu eigefügt) Chapter 8.1 - 8.15: Type Conversion, Type alias, overloading, Template functions, Chapter 13.1 - : Operator Overloading, Friend functions und classes, </t>
  </si>
  <si>
    <t>Research für good practice Project-Filesystem, MorfMaker</t>
  </si>
  <si>
    <r>
      <rPr>
        <u val="single"/>
        <sz val="10"/>
        <color indexed="8"/>
        <rFont val="Helvetica Neue"/>
      </rPr>
      <t>https://api.csswg.org/bikeshed/?force=1&amp;url=https://raw.githubusercontent.com/vector-of-bool/pitchfork/develop/data/spec.bs</t>
    </r>
    <r>
      <rPr>
        <sz val="10"/>
        <color indexed="8"/>
        <rFont val="Helvetica Neue"/>
      </rPr>
      <t>, Projektstruktur eingeführt, alles in einen Namespace gepackt.</t>
    </r>
  </si>
  <si>
    <t>Roboterteile bei der Beuth abgeholt</t>
  </si>
  <si>
    <r>
      <rPr>
        <sz val="10"/>
        <color indexed="8"/>
        <rFont val="Helvetica Neue"/>
      </rPr>
      <t xml:space="preserve">Code aufgeräumt, vereinfacht, umstrukturiert, </t>
    </r>
    <r>
      <rPr>
        <b val="1"/>
        <sz val="10"/>
        <color indexed="8"/>
        <rFont val="Helvetica Neue"/>
      </rPr>
      <t>Part</t>
    </r>
  </si>
  <si>
    <r>
      <rPr>
        <sz val="10"/>
        <color indexed="8"/>
        <rFont val="Helvetica Neue"/>
      </rPr>
      <t xml:space="preserve">Code aufgeräumt, vereinfacht, umstrukturiert, </t>
    </r>
    <r>
      <rPr>
        <b val="1"/>
        <sz val="10"/>
        <color indexed="8"/>
        <rFont val="Helvetica Neue"/>
      </rPr>
      <t>Robot</t>
    </r>
  </si>
  <si>
    <r>
      <rPr>
        <sz val="10"/>
        <color indexed="8"/>
        <rFont val="Helvetica Neue"/>
      </rPr>
      <t xml:space="preserve">Code aufgeräumt, vereinfacht, umstrukturiert, </t>
    </r>
    <r>
      <rPr>
        <b val="1"/>
        <sz val="10"/>
        <color indexed="8"/>
        <rFont val="Helvetica Neue"/>
      </rPr>
      <t>Phasespace, Posture</t>
    </r>
  </si>
  <si>
    <r>
      <rPr>
        <sz val="10"/>
        <color indexed="8"/>
        <rFont val="Helvetica Neue"/>
      </rPr>
      <t xml:space="preserve">Code aufgeräumt, vereinfacht, umstrukturiert, </t>
    </r>
    <r>
      <rPr>
        <b val="1"/>
        <sz val="10"/>
        <color indexed="8"/>
        <rFont val="Helvetica Neue"/>
      </rPr>
      <t xml:space="preserve">Phasespace, Vertex, </t>
    </r>
    <r>
      <rPr>
        <sz val="10"/>
        <color indexed="8"/>
        <rFont val="Helvetica Neue"/>
      </rPr>
      <t>compilled endlich wieder aber noch bugs drin</t>
    </r>
  </si>
  <si>
    <t>NRL Workshop (Block A)</t>
  </si>
  <si>
    <t>Selber Lernen, Adaptiv statt Trainiert, Explorieren/Erforschen, Komplexität reduzieren</t>
  </si>
  <si>
    <t>NRL Workshop (Block B)</t>
  </si>
  <si>
    <t>Hardware besprochen, MAIX 2, Minibot, Babymyon, BDE, A-serie</t>
  </si>
  <si>
    <t>Woche #13 Total</t>
  </si>
  <si>
    <t>Minibot und Rosen Vorbereitung</t>
  </si>
  <si>
    <t>View classe angefangen</t>
  </si>
  <si>
    <t>Shader classe, view weitergearbeitet</t>
  </si>
  <si>
    <t>RoSen Treffen im Ortolanweg</t>
  </si>
  <si>
    <t>(super hieß)</t>
  </si>
  <si>
    <t>Buggefixt an viewclasse weiter gearbeitet</t>
  </si>
  <si>
    <t>MorfMaker, LearnCpp</t>
  </si>
  <si>
    <t>Probleme mit Vererbung, Einige Chapter zu Virtual functions, down/upcasting, interfaceclasses</t>
  </si>
  <si>
    <t>Latex mit Henrik</t>
  </si>
  <si>
    <t>Alle Buggs gefixxt, halleluja, Programm funktioniert wieder wie vorher</t>
  </si>
  <si>
    <t>Angle und Config Klasse eingebaut</t>
  </si>
  <si>
    <t>Restlichen Bugs gefixt und alles auf Angle und Config angepasst</t>
  </si>
  <si>
    <t>MorfMaker, RoSen</t>
  </si>
  <si>
    <t>Automatisches Skalieren der Roboter -&gt; dadurch jetzt auch mit semni. Einige Notizen von Christians Protokoll abgeschrieben</t>
  </si>
  <si>
    <t>Einige Kommentare geschrieben</t>
  </si>
  <si>
    <t>NRL Maix Codeing Marathon</t>
  </si>
  <si>
    <t>Tastatur PS2 schnittstelle mit simon</t>
  </si>
  <si>
    <t>Woche #14 Total</t>
  </si>
  <si>
    <t>Phasespace repariert, Cursor eingebaut</t>
  </si>
  <si>
    <t>MorfMaker, Doku</t>
  </si>
  <si>
    <t>Kommentare, und Doku angefangen: Winkel</t>
  </si>
  <si>
    <t>MorfMaker Doku</t>
  </si>
  <si>
    <t>Doku weiter geschrieben: Konfiguration, Part</t>
  </si>
  <si>
    <t>Doku weiter geschrieben: Part, Polypart</t>
  </si>
  <si>
    <t>Doku weiter geschrieben: Robot, An der PC Version gefeilt</t>
  </si>
  <si>
    <t>Doku weiter geschrieben: Phasespace und Vertex angefangen</t>
  </si>
  <si>
    <t>Doku weiter geschrieben: Phasespace weiter geschrieben</t>
  </si>
  <si>
    <t>Doku weiter geschrieben: Phasespace fertig gemacht</t>
  </si>
  <si>
    <t>Doku weiter geschrieben: VAO, Ground, PartVAO</t>
  </si>
  <si>
    <t>Woche #15 Total</t>
  </si>
  <si>
    <t>insgesamt</t>
  </si>
  <si>
    <t>pro Woche</t>
  </si>
  <si>
    <t>Woche (5T)</t>
  </si>
  <si>
    <t>Lazy mode</t>
  </si>
  <si>
    <t>Beast mode</t>
  </si>
  <si>
    <t>In Echt</t>
  </si>
  <si>
    <t>Geschafft (%)</t>
  </si>
  <si>
    <t>Noch übrige Stunden</t>
  </si>
  <si>
    <t>Übrige Arbeitage (geschätzt)</t>
  </si>
  <si>
    <t>Übrige Arbeitswochen</t>
  </si>
  <si>
    <t>Arbeitsstunden Pflicht</t>
  </si>
  <si>
    <t>Maximale # Wochen (Lazy mode)</t>
  </si>
  <si>
    <t>Lazy mode Tage</t>
  </si>
  <si>
    <t>Lazy mode Stunden/Tag</t>
  </si>
  <si>
    <t>Beast mode Tage</t>
  </si>
  <si>
    <t>Beast mode Stunden/Tag</t>
  </si>
  <si>
    <t>Tägliche Performance</t>
  </si>
  <si>
    <t>Lazymode</t>
  </si>
  <si>
    <t>Beastmode</t>
  </si>
  <si>
    <t>5 Tage-Schnitt</t>
  </si>
  <si>
    <t>Durchschnitt</t>
  </si>
</sst>
</file>

<file path=xl/styles.xml><?xml version="1.0" encoding="utf-8"?>
<styleSheet xmlns="http://schemas.openxmlformats.org/spreadsheetml/2006/main">
  <numFmts count="9">
    <numFmt numFmtId="0" formatCode="General"/>
    <numFmt numFmtId="59" formatCode="dd. mmmm yyyy"/>
    <numFmt numFmtId="60" formatCode="hh:mm"/>
    <numFmt numFmtId="61" formatCode="[h]&quot;h&quot;"/>
    <numFmt numFmtId="62" formatCode="[h]&quot;h&quot; m&quot;m&quot;"/>
    <numFmt numFmtId="63" formatCode="[m]&quot;m&quot;"/>
    <numFmt numFmtId="64" formatCode="0.0"/>
    <numFmt numFmtId="65" formatCode="[h]&quot;h&quot; m&quot;m&quot; s&quot;s&quot;"/>
    <numFmt numFmtId="66" formatCode="ddd, d. mmm yyyy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b val="1"/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59" fontId="2" fillId="3" borderId="2" applyNumberFormat="1" applyFont="1" applyFill="1" applyBorder="1" applyAlignment="1" applyProtection="0">
      <alignment vertical="top" wrapText="1"/>
    </xf>
    <xf numFmtId="60" fontId="0" borderId="3" applyNumberFormat="1" applyFont="1" applyFill="0" applyBorder="1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0" fontId="2" fillId="4" borderId="6" applyNumberFormat="0" applyFont="1" applyFill="1" applyBorder="1" applyAlignment="1" applyProtection="0">
      <alignment vertical="top" wrapText="1"/>
    </xf>
    <xf numFmtId="0" fontId="2" fillId="4" borderId="7" applyNumberFormat="0" applyFont="1" applyFill="1" applyBorder="1" applyAlignment="1" applyProtection="0">
      <alignment vertical="top" wrapText="1"/>
    </xf>
    <xf numFmtId="61" fontId="2" fillId="4" borderId="7" applyNumberFormat="1" applyFont="1" applyFill="1" applyBorder="1" applyAlignment="1" applyProtection="0">
      <alignment vertical="top" wrapText="1"/>
    </xf>
    <xf numFmtId="59" fontId="2" fillId="3" borderId="8" applyNumberFormat="1" applyFont="1" applyFill="1" applyBorder="1" applyAlignment="1" applyProtection="0">
      <alignment vertical="top" wrapText="1"/>
    </xf>
    <xf numFmtId="60" fontId="0" borderId="9" applyNumberFormat="1" applyFont="1" applyFill="0" applyBorder="1" applyAlignment="1" applyProtection="0">
      <alignment vertical="top" wrapText="1"/>
    </xf>
    <xf numFmtId="60" fontId="0" borderId="10" applyNumberFormat="1" applyFont="1" applyFill="0" applyBorder="1" applyAlignment="1" applyProtection="0">
      <alignment vertical="top" wrapText="1"/>
    </xf>
    <xf numFmtId="62" fontId="0" borderId="10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59" fontId="2" fillId="3" borderId="11" applyNumberFormat="1" applyFont="1" applyFill="1" applyBorder="1" applyAlignment="1" applyProtection="0">
      <alignment vertical="top" wrapText="1"/>
    </xf>
    <xf numFmtId="60" fontId="0" borderId="12" applyNumberFormat="1" applyFont="1" applyFill="0" applyBorder="1" applyAlignment="1" applyProtection="0">
      <alignment vertical="top" wrapText="1"/>
    </xf>
    <xf numFmtId="60" fontId="0" borderId="13" applyNumberFormat="1" applyFont="1" applyFill="0" applyBorder="1" applyAlignment="1" applyProtection="0">
      <alignment vertical="top" wrapText="1"/>
    </xf>
    <xf numFmtId="61" fontId="0" borderId="13" applyNumberFormat="1" applyFont="1" applyFill="0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62" fontId="0" borderId="13" applyNumberFormat="1" applyFont="1" applyFill="0" applyBorder="1" applyAlignment="1" applyProtection="0">
      <alignment vertical="top" wrapText="1"/>
    </xf>
    <xf numFmtId="63" fontId="0" borderId="13" applyNumberFormat="1" applyFont="1" applyFill="0" applyBorder="1" applyAlignment="1" applyProtection="0">
      <alignment vertical="top" wrapText="1"/>
    </xf>
    <xf numFmtId="59" fontId="2" fillId="3" borderId="14" applyNumberFormat="1" applyFont="1" applyFill="1" applyBorder="1" applyAlignment="1" applyProtection="0">
      <alignment vertical="top" wrapText="1"/>
    </xf>
    <xf numFmtId="60" fontId="0" borderId="15" applyNumberFormat="1" applyFont="1" applyFill="0" applyBorder="1" applyAlignment="1" applyProtection="0">
      <alignment vertical="top" wrapText="1"/>
    </xf>
    <xf numFmtId="60" fontId="0" borderId="16" applyNumberFormat="1" applyFont="1" applyFill="0" applyBorder="1" applyAlignment="1" applyProtection="0">
      <alignment vertical="top" wrapText="1"/>
    </xf>
    <xf numFmtId="61" fontId="0" borderId="16" applyNumberFormat="1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62" fontId="2" fillId="4" borderId="7" applyNumberFormat="1" applyFont="1" applyFill="1" applyBorder="1" applyAlignment="1" applyProtection="0">
      <alignment vertical="top" wrapText="1"/>
    </xf>
    <xf numFmtId="61" fontId="0" borderId="10" applyNumberFormat="1" applyFont="1" applyFill="0" applyBorder="1" applyAlignment="1" applyProtection="0">
      <alignment vertical="top" wrapText="1"/>
    </xf>
    <xf numFmtId="62" fontId="0" borderId="16" applyNumberFormat="1" applyFont="1" applyFill="0" applyBorder="1" applyAlignment="1" applyProtection="0">
      <alignment vertical="top" wrapText="1"/>
    </xf>
    <xf numFmtId="63" fontId="0" borderId="10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59" fontId="2" fillId="3" borderId="17" applyNumberFormat="1" applyFont="1" applyFill="1" applyBorder="1" applyAlignment="1" applyProtection="0">
      <alignment vertical="top" wrapText="1"/>
    </xf>
    <xf numFmtId="60" fontId="0" borderId="18" applyNumberFormat="1" applyFont="1" applyFill="0" applyBorder="1" applyAlignment="1" applyProtection="0">
      <alignment vertical="top" wrapText="1"/>
    </xf>
    <xf numFmtId="60" fontId="0" borderId="1" applyNumberFormat="1" applyFont="1" applyFill="0" applyBorder="1" applyAlignment="1" applyProtection="0">
      <alignment vertical="top" wrapText="1"/>
    </xf>
    <xf numFmtId="62" fontId="0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2" borderId="19" applyNumberFormat="1" applyFont="1" applyFill="0" applyBorder="1" applyAlignment="1" applyProtection="0">
      <alignment vertical="top" wrapText="1"/>
    </xf>
    <xf numFmtId="0" fontId="2" borderId="19" applyNumberFormat="0" applyFont="1" applyFill="0" applyBorder="1" applyAlignment="1" applyProtection="0">
      <alignment vertical="top" wrapText="1"/>
    </xf>
    <xf numFmtId="62" fontId="2" borderId="19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3" applyNumberFormat="0" applyFont="1" applyFill="1" applyBorder="1" applyAlignment="1" applyProtection="0">
      <alignment vertical="top" wrapText="1"/>
    </xf>
    <xf numFmtId="49" fontId="2" fillId="2" borderId="13" applyNumberFormat="1" applyFont="1" applyFill="1" applyBorder="1" applyAlignment="1" applyProtection="0">
      <alignment vertical="top" wrapText="1"/>
    </xf>
    <xf numFmtId="0" fontId="2" fillId="3" borderId="20" applyNumberFormat="1" applyFont="1" applyFill="1" applyBorder="1" applyAlignment="1" applyProtection="0">
      <alignment vertical="top" wrapText="1"/>
    </xf>
    <xf numFmtId="61" fontId="0" borderId="21" applyNumberFormat="1" applyFont="1" applyFill="0" applyBorder="1" applyAlignment="1" applyProtection="0">
      <alignment vertical="top" wrapText="1"/>
    </xf>
    <xf numFmtId="61" fontId="0" borderId="19" applyNumberFormat="1" applyFont="1" applyFill="0" applyBorder="1" applyAlignment="1" applyProtection="0">
      <alignment vertical="top" wrapText="1"/>
    </xf>
    <xf numFmtId="62" fontId="0" borderId="19" applyNumberFormat="1" applyFont="1" applyFill="0" applyBorder="1" applyAlignment="1" applyProtection="0">
      <alignment vertical="top" wrapText="1"/>
    </xf>
    <xf numFmtId="0" fontId="2" fillId="3" borderId="11" applyNumberFormat="1" applyFont="1" applyFill="1" applyBorder="1" applyAlignment="1" applyProtection="0">
      <alignment vertical="top" wrapText="1"/>
    </xf>
    <xf numFmtId="62" fontId="0" borderId="12" applyNumberFormat="1" applyFont="1" applyFill="0" applyBorder="1" applyAlignment="1" applyProtection="0">
      <alignment vertical="top" wrapText="1"/>
    </xf>
    <xf numFmtId="0" fontId="2" fillId="3" borderId="17" applyNumberFormat="1" applyFont="1" applyFill="1" applyBorder="1" applyAlignment="1" applyProtection="0">
      <alignment vertical="top" wrapText="1"/>
    </xf>
    <xf numFmtId="62" fontId="0" borderId="18" applyNumberFormat="1" applyFont="1" applyFill="0" applyBorder="1" applyAlignment="1" applyProtection="0">
      <alignment vertical="top" wrapText="1"/>
    </xf>
    <xf numFmtId="61" fontId="0" borderId="1" applyNumberFormat="1" applyFont="1" applyFill="0" applyBorder="1" applyAlignment="1" applyProtection="0">
      <alignment vertical="top" wrapText="1"/>
    </xf>
    <xf numFmtId="49" fontId="2" borderId="19" applyNumberFormat="1" applyFont="1" applyFill="0" applyBorder="1" applyAlignment="1" applyProtection="0">
      <alignment vertical="top"/>
    </xf>
    <xf numFmtId="10" fontId="2" borderId="19" applyNumberFormat="1" applyFont="1" applyFill="0" applyBorder="1" applyAlignment="1" applyProtection="0">
      <alignment vertical="top" wrapText="1"/>
    </xf>
    <xf numFmtId="49" fontId="2" borderId="13" applyNumberFormat="1" applyFont="1" applyFill="0" applyBorder="1" applyAlignment="1" applyProtection="0">
      <alignment vertical="top"/>
    </xf>
    <xf numFmtId="62" fontId="2" borderId="13" applyNumberFormat="1" applyFont="1" applyFill="0" applyBorder="1" applyAlignment="1" applyProtection="0">
      <alignment vertical="top" wrapText="1"/>
    </xf>
    <xf numFmtId="61" fontId="2" borderId="13" applyNumberFormat="1" applyFont="1" applyFill="0" applyBorder="1" applyAlignment="1" applyProtection="0">
      <alignment vertical="top" wrapText="1"/>
    </xf>
    <xf numFmtId="64" fontId="2" borderId="1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0" applyNumberFormat="1" applyFont="1" applyFill="1" applyBorder="1" applyAlignment="1" applyProtection="0">
      <alignment vertical="top" wrapText="1"/>
    </xf>
    <xf numFmtId="49" fontId="2" fillId="3" borderId="11" applyNumberFormat="1" applyFont="1" applyFill="1" applyBorder="1" applyAlignment="1" applyProtection="0">
      <alignment vertical="top" wrapText="1"/>
    </xf>
    <xf numFmtId="0" fontId="0" borderId="12" applyNumberFormat="1" applyFont="1" applyFill="0" applyBorder="1" applyAlignment="1" applyProtection="0">
      <alignment vertical="top" wrapText="1"/>
    </xf>
    <xf numFmtId="61" fontId="4" borderId="12" applyNumberFormat="1" applyFont="1" applyFill="0" applyBorder="1" applyAlignment="1" applyProtection="0">
      <alignment vertical="top" wrapText="1"/>
    </xf>
    <xf numFmtId="62" fontId="4" borderId="12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6" fontId="2" fillId="3" borderId="20" applyNumberFormat="1" applyFont="1" applyFill="1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66" fontId="2" fillId="3" borderId="11" applyNumberFormat="1" applyFont="1" applyFill="1" applyBorder="1" applyAlignment="1" applyProtection="0">
      <alignment vertical="top" wrapText="1"/>
    </xf>
    <xf numFmtId="61" fontId="0" borderId="12" applyNumberFormat="1" applyFont="1" applyFill="0" applyBorder="1" applyAlignment="1" applyProtection="0">
      <alignment vertical="top" wrapText="1"/>
    </xf>
    <xf numFmtId="66" fontId="2" fillId="3" borderId="14" applyNumberFormat="1" applyFont="1" applyFill="1" applyBorder="1" applyAlignment="1" applyProtection="0">
      <alignment vertical="top" wrapText="1"/>
    </xf>
    <xf numFmtId="61" fontId="0" borderId="15" applyNumberFormat="1" applyFont="1" applyFill="0" applyBorder="1" applyAlignment="1" applyProtection="0">
      <alignment vertical="top" wrapText="1"/>
    </xf>
    <xf numFmtId="66" fontId="2" fillId="3" borderId="8" applyNumberFormat="1" applyFont="1" applyFill="1" applyBorder="1" applyAlignment="1" applyProtection="0">
      <alignment vertical="top" wrapText="1"/>
    </xf>
    <xf numFmtId="61" fontId="0" borderId="9" applyNumberFormat="1" applyFont="1" applyFill="0" applyBorder="1" applyAlignment="1" applyProtection="0">
      <alignment vertical="top" wrapText="1"/>
    </xf>
    <xf numFmtId="62" fontId="0" borderId="9" applyNumberFormat="1" applyFont="1" applyFill="0" applyBorder="1" applyAlignment="1" applyProtection="0">
      <alignment vertical="top" wrapText="1"/>
    </xf>
    <xf numFmtId="62" fontId="0" borderId="15" applyNumberFormat="1" applyFont="1" applyFill="0" applyBorder="1" applyAlignment="1" applyProtection="0">
      <alignment vertical="top" wrapText="1"/>
    </xf>
    <xf numFmtId="66" fontId="2" fillId="3" borderId="1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2">
    <dxf>
      <font>
        <color rgb="ff000000"/>
      </font>
      <fill>
        <patternFill patternType="solid">
          <fgColor indexed="16"/>
          <bgColor indexed="17"/>
        </patternFill>
      </fill>
    </dxf>
    <dxf>
      <font>
        <color rgb="ff000000"/>
      </font>
      <fill>
        <patternFill patternType="solid">
          <fgColor indexed="16"/>
          <bgColor indexed="18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fffe"/>
      <rgbColor rgb="ffb8b8b8"/>
      <rgbColor rgb="ff919191"/>
      <rgbColor rgb="00000000"/>
      <rgbColor rgb="e5ff9781"/>
      <rgbColor rgb="e5afe489"/>
      <rgbColor rgb="fff8ba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Gearbeitete Stunden insgesamt </a:t>
            </a:r>
          </a:p>
        </c:rich>
      </c:tx>
      <c:layout>
        <c:manualLayout>
          <c:xMode val="edge"/>
          <c:yMode val="edge"/>
          <c:x val="0.321938"/>
          <c:y val="0"/>
          <c:w val="0.356124"/>
          <c:h val="0.0880533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70151"/>
          <c:y val="0.0880533"/>
          <c:w val="0.917369"/>
          <c:h val="0.843789"/>
        </c:manualLayout>
      </c:layout>
      <c:lineChart>
        <c:grouping val="standard"/>
        <c:varyColors val="0"/>
        <c:ser>
          <c:idx val="0"/>
          <c:order val="0"/>
          <c:tx>
            <c:strRef>
              <c:f>'Zeitplaner'!$C$3</c:f>
              <c:strCache>
                <c:ptCount val="1"/>
                <c:pt idx="0">
                  <c:v>Lazy mode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custDash>
                <a:ds d="200000" sp="200000"/>
              </a:custDash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'Zeitplaner'!$B$4:$B$22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'Zeitplaner'!$C$4:$C$22</c:f>
              <c:numCache>
                <c:ptCount val="19"/>
                <c:pt idx="0">
                  <c:v>0.000000</c:v>
                </c:pt>
                <c:pt idx="1">
                  <c:v>90000.000000</c:v>
                </c:pt>
                <c:pt idx="2">
                  <c:v>180000.000000</c:v>
                </c:pt>
                <c:pt idx="3">
                  <c:v>270000.000000</c:v>
                </c:pt>
                <c:pt idx="4">
                  <c:v>360000.000000</c:v>
                </c:pt>
                <c:pt idx="5">
                  <c:v>450000.000000</c:v>
                </c:pt>
                <c:pt idx="6">
                  <c:v>540000.000000</c:v>
                </c:pt>
                <c:pt idx="7">
                  <c:v>630000.000000</c:v>
                </c:pt>
                <c:pt idx="8">
                  <c:v>720000.000000</c:v>
                </c:pt>
                <c:pt idx="9">
                  <c:v>810000.000000</c:v>
                </c:pt>
                <c:pt idx="10">
                  <c:v>900000.000000</c:v>
                </c:pt>
                <c:pt idx="11">
                  <c:v>990000.000000</c:v>
                </c:pt>
                <c:pt idx="12">
                  <c:v>1080000.000000</c:v>
                </c:pt>
                <c:pt idx="13">
                  <c:v>1170000.000000</c:v>
                </c:pt>
                <c:pt idx="14">
                  <c:v>1260000.000000</c:v>
                </c:pt>
                <c:pt idx="15">
                  <c:v>1350000.000000</c:v>
                </c:pt>
                <c:pt idx="16">
                  <c:v>1440000.000000</c:v>
                </c:pt>
                <c:pt idx="17">
                  <c:v>1530000.000000</c:v>
                </c:pt>
                <c:pt idx="18">
                  <c:v>1620000.000000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'Zeitplaner'!$D$3</c:f>
              <c:strCache>
                <c:ptCount val="1"/>
                <c:pt idx="0">
                  <c:v>Beast mode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3"/>
              </a:solidFill>
              <a:custDash>
                <a:ds d="200000" sp="200000"/>
              </a:custDash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'Zeitplaner'!$B$4:$B$22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'Zeitplaner'!$D$4:$D$22</c:f>
              <c:numCache>
                <c:ptCount val="13"/>
                <c:pt idx="0">
                  <c:v>0.000000</c:v>
                </c:pt>
                <c:pt idx="1">
                  <c:v>135000.000000</c:v>
                </c:pt>
                <c:pt idx="2">
                  <c:v>270000.000000</c:v>
                </c:pt>
                <c:pt idx="3">
                  <c:v>405000.000000</c:v>
                </c:pt>
                <c:pt idx="4">
                  <c:v>540000.000000</c:v>
                </c:pt>
                <c:pt idx="5">
                  <c:v>675000.000000</c:v>
                </c:pt>
                <c:pt idx="6">
                  <c:v>810000.000000</c:v>
                </c:pt>
                <c:pt idx="7">
                  <c:v>945000.000000</c:v>
                </c:pt>
                <c:pt idx="8">
                  <c:v>1080000.000000</c:v>
                </c:pt>
                <c:pt idx="9">
                  <c:v>1215000.000000</c:v>
                </c:pt>
                <c:pt idx="10">
                  <c:v>1350000.000000</c:v>
                </c:pt>
                <c:pt idx="11">
                  <c:v>1485000.000000</c:v>
                </c:pt>
                <c:pt idx="12">
                  <c:v>1620000.000000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'Zeitplaner'!$E$3</c:f>
              <c:strCache>
                <c:ptCount val="1"/>
                <c:pt idx="0">
                  <c:v>In Echt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rgbClr val="929292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rgbClr val="929292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'Zeitplaner'!$B$4:$B$22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'Zeitplaner'!$E$4:$E$22</c:f>
              <c:numCache>
                <c:ptCount val="16"/>
                <c:pt idx="0">
                  <c:v>3600.000000</c:v>
                </c:pt>
                <c:pt idx="1">
                  <c:v>119400.000000</c:v>
                </c:pt>
                <c:pt idx="2">
                  <c:v>246900.000000</c:v>
                </c:pt>
                <c:pt idx="3">
                  <c:v>389400.000000</c:v>
                </c:pt>
                <c:pt idx="4">
                  <c:v>492900.000000</c:v>
                </c:pt>
                <c:pt idx="5">
                  <c:v>627600.000000</c:v>
                </c:pt>
                <c:pt idx="6">
                  <c:v>730200.000000</c:v>
                </c:pt>
                <c:pt idx="7">
                  <c:v>852600.000000</c:v>
                </c:pt>
                <c:pt idx="8">
                  <c:v>966900.000000</c:v>
                </c:pt>
                <c:pt idx="9">
                  <c:v>1075200.000000</c:v>
                </c:pt>
                <c:pt idx="10">
                  <c:v>1084800.000000</c:v>
                </c:pt>
                <c:pt idx="11">
                  <c:v>1194000.000000</c:v>
                </c:pt>
                <c:pt idx="12">
                  <c:v>1299900.000000</c:v>
                </c:pt>
                <c:pt idx="13">
                  <c:v>1424400.000000</c:v>
                </c:pt>
                <c:pt idx="14">
                  <c:v>1535400.000000</c:v>
                </c:pt>
                <c:pt idx="15">
                  <c:v>1620000.000000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h]&quot;h&quot; m&quot;m&quot; s&quot;s&quot;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</c:valAx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0416125"/>
          <c:y val="0.114295"/>
          <c:w val="0.204951"/>
          <c:h val="0.14696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Gearbeitete Stunden pro Woche</a:t>
            </a:r>
          </a:p>
        </c:rich>
      </c:tx>
      <c:layout>
        <c:manualLayout>
          <c:xMode val="edge"/>
          <c:yMode val="edge"/>
          <c:x val="0.321493"/>
          <c:y val="0"/>
          <c:w val="0.357014"/>
          <c:h val="0.0880533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587011"/>
          <c:y val="0.0880533"/>
          <c:w val="0.928819"/>
          <c:h val="0.843789"/>
        </c:manualLayout>
      </c:layout>
      <c:lineChart>
        <c:grouping val="standard"/>
        <c:varyColors val="0"/>
        <c:ser>
          <c:idx val="0"/>
          <c:order val="0"/>
          <c:tx>
            <c:strRef>
              <c:f>'Zeitplaner'!$F$3</c:f>
              <c:strCache>
                <c:ptCount val="1"/>
                <c:pt idx="0">
                  <c:v>Lazy mode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custDash>
                <a:ds d="200000" sp="200000"/>
              </a:custDash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'Zeitplaner'!$B$4:$B$22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'Zeitplaner'!$F$4:$F$22</c:f>
              <c:numCache>
                <c:ptCount val="19"/>
                <c:pt idx="0">
                  <c:v>90000.000000</c:v>
                </c:pt>
                <c:pt idx="1">
                  <c:v>90000.000000</c:v>
                </c:pt>
                <c:pt idx="2">
                  <c:v>90000.000000</c:v>
                </c:pt>
                <c:pt idx="3">
                  <c:v>90000.000000</c:v>
                </c:pt>
                <c:pt idx="4">
                  <c:v>90000.000000</c:v>
                </c:pt>
                <c:pt idx="5">
                  <c:v>90000.000000</c:v>
                </c:pt>
                <c:pt idx="6">
                  <c:v>90000.000000</c:v>
                </c:pt>
                <c:pt idx="7">
                  <c:v>90000.000000</c:v>
                </c:pt>
                <c:pt idx="8">
                  <c:v>90000.000000</c:v>
                </c:pt>
                <c:pt idx="9">
                  <c:v>90000.000000</c:v>
                </c:pt>
                <c:pt idx="10">
                  <c:v>90000.000000</c:v>
                </c:pt>
                <c:pt idx="11">
                  <c:v>90000.000000</c:v>
                </c:pt>
                <c:pt idx="12">
                  <c:v>90000.000000</c:v>
                </c:pt>
                <c:pt idx="13">
                  <c:v>90000.000000</c:v>
                </c:pt>
                <c:pt idx="14">
                  <c:v>90000.000000</c:v>
                </c:pt>
                <c:pt idx="15">
                  <c:v>90000.000000</c:v>
                </c:pt>
                <c:pt idx="16">
                  <c:v>90000.000000</c:v>
                </c:pt>
                <c:pt idx="17">
                  <c:v>90000.000000</c:v>
                </c:pt>
                <c:pt idx="18">
                  <c:v>90000.000000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'Zeitplaner'!$G$3</c:f>
              <c:strCache>
                <c:ptCount val="1"/>
                <c:pt idx="0">
                  <c:v>Beast mode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3"/>
              </a:solidFill>
              <a:custDash>
                <a:ds d="200000" sp="200000"/>
              </a:custDash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'Zeitplaner'!$B$4:$B$22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'Zeitplaner'!$G$4:$G$22</c:f>
              <c:numCache>
                <c:ptCount val="19"/>
                <c:pt idx="0">
                  <c:v>135000.000000</c:v>
                </c:pt>
                <c:pt idx="1">
                  <c:v>135000.000000</c:v>
                </c:pt>
                <c:pt idx="2">
                  <c:v>135000.000000</c:v>
                </c:pt>
                <c:pt idx="3">
                  <c:v>135000.000000</c:v>
                </c:pt>
                <c:pt idx="4">
                  <c:v>135000.000000</c:v>
                </c:pt>
                <c:pt idx="5">
                  <c:v>135000.000000</c:v>
                </c:pt>
                <c:pt idx="6">
                  <c:v>135000.000000</c:v>
                </c:pt>
                <c:pt idx="7">
                  <c:v>135000.000000</c:v>
                </c:pt>
                <c:pt idx="8">
                  <c:v>135000.000000</c:v>
                </c:pt>
                <c:pt idx="9">
                  <c:v>135000.000000</c:v>
                </c:pt>
                <c:pt idx="10">
                  <c:v>135000.000000</c:v>
                </c:pt>
                <c:pt idx="11">
                  <c:v>135000.000000</c:v>
                </c:pt>
                <c:pt idx="12">
                  <c:v>135000.000000</c:v>
                </c:pt>
                <c:pt idx="13">
                  <c:v>135000.000000</c:v>
                </c:pt>
                <c:pt idx="14">
                  <c:v>135000.000000</c:v>
                </c:pt>
                <c:pt idx="15">
                  <c:v>135000.000000</c:v>
                </c:pt>
                <c:pt idx="16">
                  <c:v>135000.000000</c:v>
                </c:pt>
                <c:pt idx="17">
                  <c:v>135000.000000</c:v>
                </c:pt>
                <c:pt idx="18">
                  <c:v>135000.000000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'Zeitplaner'!$H$3</c:f>
              <c:strCache>
                <c:ptCount val="1"/>
                <c:pt idx="0">
                  <c:v>In Echt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rgbClr val="929292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rgbClr val="929292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'Zeitplaner'!$B$4:$B$22</c:f>
              <c:strCach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strCache>
            </c:strRef>
          </c:cat>
          <c:val>
            <c:numRef>
              <c:f>'Zeitplaner'!$H$4:$H$22</c:f>
              <c:numCache>
                <c:ptCount val="16"/>
                <c:pt idx="0">
                  <c:v>3600.000000</c:v>
                </c:pt>
                <c:pt idx="1">
                  <c:v>115800.000000</c:v>
                </c:pt>
                <c:pt idx="2">
                  <c:v>127500.000000</c:v>
                </c:pt>
                <c:pt idx="3">
                  <c:v>142500.000000</c:v>
                </c:pt>
                <c:pt idx="4">
                  <c:v>103500.000000</c:v>
                </c:pt>
                <c:pt idx="5">
                  <c:v>134700.000000</c:v>
                </c:pt>
                <c:pt idx="6">
                  <c:v>102600.000000</c:v>
                </c:pt>
                <c:pt idx="7">
                  <c:v>122400.000000</c:v>
                </c:pt>
                <c:pt idx="8">
                  <c:v>114300.000000</c:v>
                </c:pt>
                <c:pt idx="9">
                  <c:v>108300.000000</c:v>
                </c:pt>
                <c:pt idx="10">
                  <c:v>9600.000000</c:v>
                </c:pt>
                <c:pt idx="11">
                  <c:v>109200.000000</c:v>
                </c:pt>
                <c:pt idx="12">
                  <c:v>105900.000000</c:v>
                </c:pt>
                <c:pt idx="13">
                  <c:v>124500.000000</c:v>
                </c:pt>
                <c:pt idx="14">
                  <c:v>111000.000000</c:v>
                </c:pt>
                <c:pt idx="15">
                  <c:v>84600.000000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144000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h]&quot;h&quot; m&quot;m&quot; s&quot;s&quot;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</c:valAx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070151"/>
          <c:y val="0.756408"/>
          <c:w val="0.191478"/>
          <c:h val="0.14696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54757"/>
          <c:y val="0.0354513"/>
          <c:w val="0.919524"/>
          <c:h val="0.734189"/>
        </c:manualLayout>
      </c:layout>
      <c:lineChart>
        <c:grouping val="standard"/>
        <c:varyColors val="0"/>
        <c:ser>
          <c:idx val="0"/>
          <c:order val="0"/>
          <c:tx>
            <c:strRef>
              <c:f>'Daily'!$B$2</c:f>
              <c:strCache>
                <c:ptCount val="1"/>
                <c:pt idx="0">
                  <c:v>Lazymode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custDash>
                <a:ds d="200000" sp="200000"/>
              </a:custDash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'Daily'!$A$3:$A$77</c:f>
              <c:strCache>
                <c:ptCount val="75"/>
                <c:pt idx="0">
                  <c:v>Mo., 12. Apr. 2021</c:v>
                </c:pt>
                <c:pt idx="1">
                  <c:v>Di., 13. Apr. 2021</c:v>
                </c:pt>
                <c:pt idx="2">
                  <c:v>Mi., 14. Apr. 2021</c:v>
                </c:pt>
                <c:pt idx="3">
                  <c:v>Do., 15. Apr. 2021</c:v>
                </c:pt>
                <c:pt idx="4">
                  <c:v>Fr., 16. Apr. 2021</c:v>
                </c:pt>
                <c:pt idx="5">
                  <c:v>Mo., 19. Apr. 2021</c:v>
                </c:pt>
                <c:pt idx="6">
                  <c:v>Di., 20. Apr. 2021</c:v>
                </c:pt>
                <c:pt idx="7">
                  <c:v>Mi., 21. Apr. 2021</c:v>
                </c:pt>
                <c:pt idx="8">
                  <c:v>Do., 22. Apr. 2021</c:v>
                </c:pt>
                <c:pt idx="9">
                  <c:v>Fr., 23. Apr. 2021</c:v>
                </c:pt>
                <c:pt idx="10">
                  <c:v>Mo., 26. Apr. 2021</c:v>
                </c:pt>
                <c:pt idx="11">
                  <c:v>Di., 27. Apr. 2021</c:v>
                </c:pt>
                <c:pt idx="12">
                  <c:v>Mi., 28. Apr. 2021</c:v>
                </c:pt>
                <c:pt idx="13">
                  <c:v>Do., 29. Apr. 2021</c:v>
                </c:pt>
                <c:pt idx="14">
                  <c:v>Fr., 30. Apr. 2021</c:v>
                </c:pt>
                <c:pt idx="15">
                  <c:v>Mo., 3. Mai 2021</c:v>
                </c:pt>
                <c:pt idx="16">
                  <c:v>Di., 4. Mai 2021</c:v>
                </c:pt>
                <c:pt idx="17">
                  <c:v>Mi., 5. Mai 2021</c:v>
                </c:pt>
                <c:pt idx="18">
                  <c:v>Do., 6. Mai 2021</c:v>
                </c:pt>
                <c:pt idx="19">
                  <c:v>Fr., 7. Mai 2021</c:v>
                </c:pt>
                <c:pt idx="20">
                  <c:v>Mo., 10. Mai 2021</c:v>
                </c:pt>
                <c:pt idx="21">
                  <c:v>Di., 11. Mai 2021</c:v>
                </c:pt>
                <c:pt idx="22">
                  <c:v>Mi., 12. Mai 2021</c:v>
                </c:pt>
                <c:pt idx="23">
                  <c:v>Do., 13. Mai 2021</c:v>
                </c:pt>
                <c:pt idx="24">
                  <c:v>Fr., 14. Mai 2021</c:v>
                </c:pt>
                <c:pt idx="25">
                  <c:v>Mo., 17. Mai 2021</c:v>
                </c:pt>
                <c:pt idx="26">
                  <c:v>Di., 18. Mai 2021</c:v>
                </c:pt>
                <c:pt idx="27">
                  <c:v>Mi., 19. Mai 2021</c:v>
                </c:pt>
                <c:pt idx="28">
                  <c:v>Do., 20. Mai 2021</c:v>
                </c:pt>
                <c:pt idx="29">
                  <c:v>Fr., 21. Mai 2021</c:v>
                </c:pt>
                <c:pt idx="30">
                  <c:v>Mo., 24. Mai 2021</c:v>
                </c:pt>
                <c:pt idx="31">
                  <c:v>Di., 25. Mai 2021</c:v>
                </c:pt>
                <c:pt idx="32">
                  <c:v>Mi., 26. Mai 2021</c:v>
                </c:pt>
                <c:pt idx="33">
                  <c:v>Do., 27. Mai 2021</c:v>
                </c:pt>
                <c:pt idx="34">
                  <c:v>Fr., 28. Mai 2021</c:v>
                </c:pt>
                <c:pt idx="35">
                  <c:v>Mo., 31. Mai 2021</c:v>
                </c:pt>
                <c:pt idx="36">
                  <c:v>Di., 1. Juni 2021</c:v>
                </c:pt>
                <c:pt idx="37">
                  <c:v>Mi., 2. Juni 2021</c:v>
                </c:pt>
                <c:pt idx="38">
                  <c:v>Do., 3. Juni 2021</c:v>
                </c:pt>
                <c:pt idx="39">
                  <c:v>Fr., 4. Juni 2021</c:v>
                </c:pt>
                <c:pt idx="40">
                  <c:v>Mo., 7. Juni 2021</c:v>
                </c:pt>
                <c:pt idx="41">
                  <c:v>Di., 8. Juni 2021</c:v>
                </c:pt>
                <c:pt idx="42">
                  <c:v>Mi., 9. Juni 2021</c:v>
                </c:pt>
                <c:pt idx="43">
                  <c:v>Do., 10. Juni 2021</c:v>
                </c:pt>
                <c:pt idx="44">
                  <c:v>Fr., 11. Juni 2021</c:v>
                </c:pt>
                <c:pt idx="45">
                  <c:v>Mo., 14. Juni 2021</c:v>
                </c:pt>
                <c:pt idx="46">
                  <c:v>Di., 15. Juni 2021</c:v>
                </c:pt>
                <c:pt idx="47">
                  <c:v>Mi., 16. Juni 2021</c:v>
                </c:pt>
                <c:pt idx="48">
                  <c:v>Do., 17. Juni 2021</c:v>
                </c:pt>
                <c:pt idx="49">
                  <c:v>Fr., 18. Juni 2021</c:v>
                </c:pt>
                <c:pt idx="50">
                  <c:v>Mo., 21. Juni 2021</c:v>
                </c:pt>
                <c:pt idx="51">
                  <c:v>Di., 22. Juni 2021</c:v>
                </c:pt>
                <c:pt idx="52">
                  <c:v>Mi., 23. Juni 2021</c:v>
                </c:pt>
                <c:pt idx="53">
                  <c:v>Do., 24. Juni 2021</c:v>
                </c:pt>
                <c:pt idx="54">
                  <c:v>Fr., 25. Juni 2021</c:v>
                </c:pt>
                <c:pt idx="55">
                  <c:v>Mo., 28. Juni 2021</c:v>
                </c:pt>
                <c:pt idx="56">
                  <c:v>Di., 29. Juni 2021</c:v>
                </c:pt>
                <c:pt idx="57">
                  <c:v>Mi., 30. Juni 2021</c:v>
                </c:pt>
                <c:pt idx="58">
                  <c:v>Do., 1. Juli 2021</c:v>
                </c:pt>
                <c:pt idx="59">
                  <c:v>Fr., 2. Juli 2021</c:v>
                </c:pt>
                <c:pt idx="60">
                  <c:v>Mo., 5. Juli 2021</c:v>
                </c:pt>
                <c:pt idx="61">
                  <c:v>Di., 6. Juli 2021</c:v>
                </c:pt>
                <c:pt idx="62">
                  <c:v>Mi., 7. Juli 2021</c:v>
                </c:pt>
                <c:pt idx="63">
                  <c:v>Do., 8. Juli 2021</c:v>
                </c:pt>
                <c:pt idx="64">
                  <c:v>Fr., 9. Juli 2021</c:v>
                </c:pt>
                <c:pt idx="65">
                  <c:v>Mo., 12. Juli 2021</c:v>
                </c:pt>
                <c:pt idx="66">
                  <c:v>Di., 13. Juli 2021</c:v>
                </c:pt>
                <c:pt idx="67">
                  <c:v>Mi., 14. Juli 2021</c:v>
                </c:pt>
                <c:pt idx="68">
                  <c:v>Do., 15. Juli 2021</c:v>
                </c:pt>
                <c:pt idx="69">
                  <c:v>Fr., 16. Juli 2021</c:v>
                </c:pt>
                <c:pt idx="70">
                  <c:v>Mo., 19. Juli 2021</c:v>
                </c:pt>
                <c:pt idx="71">
                  <c:v>Di., 20. Juli 2021</c:v>
                </c:pt>
                <c:pt idx="72">
                  <c:v>Mi., 21. Juli 2021</c:v>
                </c:pt>
                <c:pt idx="73">
                  <c:v>Do., 22. Juli 2021</c:v>
                </c:pt>
                <c:pt idx="74">
                  <c:v>Fr., 23. Juli 2021</c:v>
                </c:pt>
              </c:strCache>
            </c:strRef>
          </c:cat>
          <c:val>
            <c:numRef>
              <c:f>'Daily'!$B$3:$B$77</c:f>
              <c:numCache>
                <c:ptCount val="75"/>
                <c:pt idx="0">
                  <c:v>18000.000000</c:v>
                </c:pt>
                <c:pt idx="1">
                  <c:v>18000.000000</c:v>
                </c:pt>
                <c:pt idx="2">
                  <c:v>18000.000000</c:v>
                </c:pt>
                <c:pt idx="3">
                  <c:v>18000.000000</c:v>
                </c:pt>
                <c:pt idx="4">
                  <c:v>18000.000000</c:v>
                </c:pt>
                <c:pt idx="5">
                  <c:v>18000.000000</c:v>
                </c:pt>
                <c:pt idx="6">
                  <c:v>18000.000000</c:v>
                </c:pt>
                <c:pt idx="7">
                  <c:v>18000.000000</c:v>
                </c:pt>
                <c:pt idx="8">
                  <c:v>18000.000000</c:v>
                </c:pt>
                <c:pt idx="9">
                  <c:v>18000.000000</c:v>
                </c:pt>
                <c:pt idx="10">
                  <c:v>18000.000000</c:v>
                </c:pt>
                <c:pt idx="11">
                  <c:v>18000.000000</c:v>
                </c:pt>
                <c:pt idx="12">
                  <c:v>18000.000000</c:v>
                </c:pt>
                <c:pt idx="13">
                  <c:v>18000.000000</c:v>
                </c:pt>
                <c:pt idx="14">
                  <c:v>18000.000000</c:v>
                </c:pt>
                <c:pt idx="15">
                  <c:v>18000.000000</c:v>
                </c:pt>
                <c:pt idx="16">
                  <c:v>18000.000000</c:v>
                </c:pt>
                <c:pt idx="17">
                  <c:v>18000.000000</c:v>
                </c:pt>
                <c:pt idx="18">
                  <c:v>18000.000000</c:v>
                </c:pt>
                <c:pt idx="19">
                  <c:v>18000.000000</c:v>
                </c:pt>
                <c:pt idx="20">
                  <c:v>18000.000000</c:v>
                </c:pt>
                <c:pt idx="21">
                  <c:v>18000.000000</c:v>
                </c:pt>
                <c:pt idx="22">
                  <c:v>18000.000000</c:v>
                </c:pt>
                <c:pt idx="23">
                  <c:v>18000.000000</c:v>
                </c:pt>
                <c:pt idx="24">
                  <c:v>18000.000000</c:v>
                </c:pt>
                <c:pt idx="25">
                  <c:v>18000.000000</c:v>
                </c:pt>
                <c:pt idx="26">
                  <c:v>18000.000000</c:v>
                </c:pt>
                <c:pt idx="27">
                  <c:v>18000.000000</c:v>
                </c:pt>
                <c:pt idx="28">
                  <c:v>18000.000000</c:v>
                </c:pt>
                <c:pt idx="29">
                  <c:v>18000.000000</c:v>
                </c:pt>
                <c:pt idx="30">
                  <c:v>18000.000000</c:v>
                </c:pt>
                <c:pt idx="31">
                  <c:v>18000.000000</c:v>
                </c:pt>
                <c:pt idx="32">
                  <c:v>18000.000000</c:v>
                </c:pt>
                <c:pt idx="33">
                  <c:v>18000.000000</c:v>
                </c:pt>
                <c:pt idx="34">
                  <c:v>18000.000000</c:v>
                </c:pt>
                <c:pt idx="35">
                  <c:v>18000.000000</c:v>
                </c:pt>
                <c:pt idx="36">
                  <c:v>18000.000000</c:v>
                </c:pt>
                <c:pt idx="37">
                  <c:v>18000.000000</c:v>
                </c:pt>
                <c:pt idx="38">
                  <c:v>18000.000000</c:v>
                </c:pt>
                <c:pt idx="39">
                  <c:v>18000.000000</c:v>
                </c:pt>
                <c:pt idx="40">
                  <c:v>18000.000000</c:v>
                </c:pt>
                <c:pt idx="41">
                  <c:v>18000.000000</c:v>
                </c:pt>
                <c:pt idx="42">
                  <c:v>18000.000000</c:v>
                </c:pt>
                <c:pt idx="43">
                  <c:v>18000.000000</c:v>
                </c:pt>
                <c:pt idx="44">
                  <c:v>18000.000000</c:v>
                </c:pt>
                <c:pt idx="45">
                  <c:v>18000.000000</c:v>
                </c:pt>
                <c:pt idx="46">
                  <c:v>18000.000000</c:v>
                </c:pt>
                <c:pt idx="47">
                  <c:v>18000.000000</c:v>
                </c:pt>
                <c:pt idx="48">
                  <c:v>18000.000000</c:v>
                </c:pt>
                <c:pt idx="49">
                  <c:v>18000.000000</c:v>
                </c:pt>
                <c:pt idx="50">
                  <c:v>18000.000000</c:v>
                </c:pt>
                <c:pt idx="51">
                  <c:v>18000.000000</c:v>
                </c:pt>
                <c:pt idx="52">
                  <c:v>18000.000000</c:v>
                </c:pt>
                <c:pt idx="53">
                  <c:v>18000.000000</c:v>
                </c:pt>
                <c:pt idx="54">
                  <c:v>18000.000000</c:v>
                </c:pt>
                <c:pt idx="55">
                  <c:v>18000.000000</c:v>
                </c:pt>
                <c:pt idx="56">
                  <c:v>18000.000000</c:v>
                </c:pt>
                <c:pt idx="57">
                  <c:v>18000.000000</c:v>
                </c:pt>
                <c:pt idx="58">
                  <c:v>18000.000000</c:v>
                </c:pt>
                <c:pt idx="59">
                  <c:v>18000.000000</c:v>
                </c:pt>
                <c:pt idx="60">
                  <c:v>18000.000000</c:v>
                </c:pt>
                <c:pt idx="61">
                  <c:v>18000.000000</c:v>
                </c:pt>
                <c:pt idx="62">
                  <c:v>18000.000000</c:v>
                </c:pt>
                <c:pt idx="63">
                  <c:v>18000.000000</c:v>
                </c:pt>
                <c:pt idx="64">
                  <c:v>18000.000000</c:v>
                </c:pt>
                <c:pt idx="65">
                  <c:v>18000.000000</c:v>
                </c:pt>
                <c:pt idx="66">
                  <c:v>18000.000000</c:v>
                </c:pt>
                <c:pt idx="67">
                  <c:v>18000.000000</c:v>
                </c:pt>
                <c:pt idx="68">
                  <c:v>18000.000000</c:v>
                </c:pt>
                <c:pt idx="69">
                  <c:v>18000.000000</c:v>
                </c:pt>
                <c:pt idx="70">
                  <c:v>18000.000000</c:v>
                </c:pt>
                <c:pt idx="71">
                  <c:v>18000.000000</c:v>
                </c:pt>
                <c:pt idx="72">
                  <c:v>18000.000000</c:v>
                </c:pt>
                <c:pt idx="73">
                  <c:v>18000.000000</c:v>
                </c:pt>
                <c:pt idx="74">
                  <c:v>18000.000000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'Daily'!$C$2</c:f>
              <c:strCache>
                <c:ptCount val="1"/>
                <c:pt idx="0">
                  <c:v>Beastmode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3"/>
              </a:solidFill>
              <a:custDash>
                <a:ds d="200000" sp="200000"/>
              </a:custDash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'Daily'!$A$3:$A$77</c:f>
              <c:strCache>
                <c:ptCount val="75"/>
                <c:pt idx="0">
                  <c:v>Mo., 12. Apr. 2021</c:v>
                </c:pt>
                <c:pt idx="1">
                  <c:v>Di., 13. Apr. 2021</c:v>
                </c:pt>
                <c:pt idx="2">
                  <c:v>Mi., 14. Apr. 2021</c:v>
                </c:pt>
                <c:pt idx="3">
                  <c:v>Do., 15. Apr. 2021</c:v>
                </c:pt>
                <c:pt idx="4">
                  <c:v>Fr., 16. Apr. 2021</c:v>
                </c:pt>
                <c:pt idx="5">
                  <c:v>Mo., 19. Apr. 2021</c:v>
                </c:pt>
                <c:pt idx="6">
                  <c:v>Di., 20. Apr. 2021</c:v>
                </c:pt>
                <c:pt idx="7">
                  <c:v>Mi., 21. Apr. 2021</c:v>
                </c:pt>
                <c:pt idx="8">
                  <c:v>Do., 22. Apr. 2021</c:v>
                </c:pt>
                <c:pt idx="9">
                  <c:v>Fr., 23. Apr. 2021</c:v>
                </c:pt>
                <c:pt idx="10">
                  <c:v>Mo., 26. Apr. 2021</c:v>
                </c:pt>
                <c:pt idx="11">
                  <c:v>Di., 27. Apr. 2021</c:v>
                </c:pt>
                <c:pt idx="12">
                  <c:v>Mi., 28. Apr. 2021</c:v>
                </c:pt>
                <c:pt idx="13">
                  <c:v>Do., 29. Apr. 2021</c:v>
                </c:pt>
                <c:pt idx="14">
                  <c:v>Fr., 30. Apr. 2021</c:v>
                </c:pt>
                <c:pt idx="15">
                  <c:v>Mo., 3. Mai 2021</c:v>
                </c:pt>
                <c:pt idx="16">
                  <c:v>Di., 4. Mai 2021</c:v>
                </c:pt>
                <c:pt idx="17">
                  <c:v>Mi., 5. Mai 2021</c:v>
                </c:pt>
                <c:pt idx="18">
                  <c:v>Do., 6. Mai 2021</c:v>
                </c:pt>
                <c:pt idx="19">
                  <c:v>Fr., 7. Mai 2021</c:v>
                </c:pt>
                <c:pt idx="20">
                  <c:v>Mo., 10. Mai 2021</c:v>
                </c:pt>
                <c:pt idx="21">
                  <c:v>Di., 11. Mai 2021</c:v>
                </c:pt>
                <c:pt idx="22">
                  <c:v>Mi., 12. Mai 2021</c:v>
                </c:pt>
                <c:pt idx="23">
                  <c:v>Do., 13. Mai 2021</c:v>
                </c:pt>
                <c:pt idx="24">
                  <c:v>Fr., 14. Mai 2021</c:v>
                </c:pt>
                <c:pt idx="25">
                  <c:v>Mo., 17. Mai 2021</c:v>
                </c:pt>
                <c:pt idx="26">
                  <c:v>Di., 18. Mai 2021</c:v>
                </c:pt>
                <c:pt idx="27">
                  <c:v>Mi., 19. Mai 2021</c:v>
                </c:pt>
                <c:pt idx="28">
                  <c:v>Do., 20. Mai 2021</c:v>
                </c:pt>
                <c:pt idx="29">
                  <c:v>Fr., 21. Mai 2021</c:v>
                </c:pt>
                <c:pt idx="30">
                  <c:v>Mo., 24. Mai 2021</c:v>
                </c:pt>
                <c:pt idx="31">
                  <c:v>Di., 25. Mai 2021</c:v>
                </c:pt>
                <c:pt idx="32">
                  <c:v>Mi., 26. Mai 2021</c:v>
                </c:pt>
                <c:pt idx="33">
                  <c:v>Do., 27. Mai 2021</c:v>
                </c:pt>
                <c:pt idx="34">
                  <c:v>Fr., 28. Mai 2021</c:v>
                </c:pt>
                <c:pt idx="35">
                  <c:v>Mo., 31. Mai 2021</c:v>
                </c:pt>
                <c:pt idx="36">
                  <c:v>Di., 1. Juni 2021</c:v>
                </c:pt>
                <c:pt idx="37">
                  <c:v>Mi., 2. Juni 2021</c:v>
                </c:pt>
                <c:pt idx="38">
                  <c:v>Do., 3. Juni 2021</c:v>
                </c:pt>
                <c:pt idx="39">
                  <c:v>Fr., 4. Juni 2021</c:v>
                </c:pt>
                <c:pt idx="40">
                  <c:v>Mo., 7. Juni 2021</c:v>
                </c:pt>
                <c:pt idx="41">
                  <c:v>Di., 8. Juni 2021</c:v>
                </c:pt>
                <c:pt idx="42">
                  <c:v>Mi., 9. Juni 2021</c:v>
                </c:pt>
                <c:pt idx="43">
                  <c:v>Do., 10. Juni 2021</c:v>
                </c:pt>
                <c:pt idx="44">
                  <c:v>Fr., 11. Juni 2021</c:v>
                </c:pt>
                <c:pt idx="45">
                  <c:v>Mo., 14. Juni 2021</c:v>
                </c:pt>
                <c:pt idx="46">
                  <c:v>Di., 15. Juni 2021</c:v>
                </c:pt>
                <c:pt idx="47">
                  <c:v>Mi., 16. Juni 2021</c:v>
                </c:pt>
                <c:pt idx="48">
                  <c:v>Do., 17. Juni 2021</c:v>
                </c:pt>
                <c:pt idx="49">
                  <c:v>Fr., 18. Juni 2021</c:v>
                </c:pt>
                <c:pt idx="50">
                  <c:v>Mo., 21. Juni 2021</c:v>
                </c:pt>
                <c:pt idx="51">
                  <c:v>Di., 22. Juni 2021</c:v>
                </c:pt>
                <c:pt idx="52">
                  <c:v>Mi., 23. Juni 2021</c:v>
                </c:pt>
                <c:pt idx="53">
                  <c:v>Do., 24. Juni 2021</c:v>
                </c:pt>
                <c:pt idx="54">
                  <c:v>Fr., 25. Juni 2021</c:v>
                </c:pt>
                <c:pt idx="55">
                  <c:v>Mo., 28. Juni 2021</c:v>
                </c:pt>
                <c:pt idx="56">
                  <c:v>Di., 29. Juni 2021</c:v>
                </c:pt>
                <c:pt idx="57">
                  <c:v>Mi., 30. Juni 2021</c:v>
                </c:pt>
                <c:pt idx="58">
                  <c:v>Do., 1. Juli 2021</c:v>
                </c:pt>
                <c:pt idx="59">
                  <c:v>Fr., 2. Juli 2021</c:v>
                </c:pt>
                <c:pt idx="60">
                  <c:v>Mo., 5. Juli 2021</c:v>
                </c:pt>
                <c:pt idx="61">
                  <c:v>Di., 6. Juli 2021</c:v>
                </c:pt>
                <c:pt idx="62">
                  <c:v>Mi., 7. Juli 2021</c:v>
                </c:pt>
                <c:pt idx="63">
                  <c:v>Do., 8. Juli 2021</c:v>
                </c:pt>
                <c:pt idx="64">
                  <c:v>Fr., 9. Juli 2021</c:v>
                </c:pt>
                <c:pt idx="65">
                  <c:v>Mo., 12. Juli 2021</c:v>
                </c:pt>
                <c:pt idx="66">
                  <c:v>Di., 13. Juli 2021</c:v>
                </c:pt>
                <c:pt idx="67">
                  <c:v>Mi., 14. Juli 2021</c:v>
                </c:pt>
                <c:pt idx="68">
                  <c:v>Do., 15. Juli 2021</c:v>
                </c:pt>
                <c:pt idx="69">
                  <c:v>Fr., 16. Juli 2021</c:v>
                </c:pt>
                <c:pt idx="70">
                  <c:v>Mo., 19. Juli 2021</c:v>
                </c:pt>
                <c:pt idx="71">
                  <c:v>Di., 20. Juli 2021</c:v>
                </c:pt>
                <c:pt idx="72">
                  <c:v>Mi., 21. Juli 2021</c:v>
                </c:pt>
                <c:pt idx="73">
                  <c:v>Do., 22. Juli 2021</c:v>
                </c:pt>
                <c:pt idx="74">
                  <c:v>Fr., 23. Juli 2021</c:v>
                </c:pt>
              </c:strCache>
            </c:strRef>
          </c:cat>
          <c:val>
            <c:numRef>
              <c:f>'Daily'!$C$3:$C$77</c:f>
              <c:numCache>
                <c:ptCount val="75"/>
                <c:pt idx="0">
                  <c:v>27000.000000</c:v>
                </c:pt>
                <c:pt idx="1">
                  <c:v>27000.000000</c:v>
                </c:pt>
                <c:pt idx="2">
                  <c:v>27000.000000</c:v>
                </c:pt>
                <c:pt idx="3">
                  <c:v>27000.000000</c:v>
                </c:pt>
                <c:pt idx="4">
                  <c:v>27000.000000</c:v>
                </c:pt>
                <c:pt idx="5">
                  <c:v>27000.000000</c:v>
                </c:pt>
                <c:pt idx="6">
                  <c:v>27000.000000</c:v>
                </c:pt>
                <c:pt idx="7">
                  <c:v>27000.000000</c:v>
                </c:pt>
                <c:pt idx="8">
                  <c:v>27000.000000</c:v>
                </c:pt>
                <c:pt idx="9">
                  <c:v>27000.000000</c:v>
                </c:pt>
                <c:pt idx="10">
                  <c:v>27000.000000</c:v>
                </c:pt>
                <c:pt idx="11">
                  <c:v>27000.000000</c:v>
                </c:pt>
                <c:pt idx="12">
                  <c:v>27000.000000</c:v>
                </c:pt>
                <c:pt idx="13">
                  <c:v>27000.000000</c:v>
                </c:pt>
                <c:pt idx="14">
                  <c:v>27000.000000</c:v>
                </c:pt>
                <c:pt idx="15">
                  <c:v>27000.000000</c:v>
                </c:pt>
                <c:pt idx="16">
                  <c:v>27000.000000</c:v>
                </c:pt>
                <c:pt idx="17">
                  <c:v>27000.000000</c:v>
                </c:pt>
                <c:pt idx="18">
                  <c:v>27000.000000</c:v>
                </c:pt>
                <c:pt idx="19">
                  <c:v>27000.000000</c:v>
                </c:pt>
                <c:pt idx="20">
                  <c:v>27000.000000</c:v>
                </c:pt>
                <c:pt idx="21">
                  <c:v>27000.000000</c:v>
                </c:pt>
                <c:pt idx="22">
                  <c:v>27000.000000</c:v>
                </c:pt>
                <c:pt idx="23">
                  <c:v>27000.000000</c:v>
                </c:pt>
                <c:pt idx="24">
                  <c:v>27000.000000</c:v>
                </c:pt>
                <c:pt idx="25">
                  <c:v>27000.000000</c:v>
                </c:pt>
                <c:pt idx="26">
                  <c:v>27000.000000</c:v>
                </c:pt>
                <c:pt idx="27">
                  <c:v>27000.000000</c:v>
                </c:pt>
                <c:pt idx="28">
                  <c:v>27000.000000</c:v>
                </c:pt>
                <c:pt idx="29">
                  <c:v>27000.000000</c:v>
                </c:pt>
                <c:pt idx="30">
                  <c:v>27000.000000</c:v>
                </c:pt>
                <c:pt idx="31">
                  <c:v>27000.000000</c:v>
                </c:pt>
                <c:pt idx="32">
                  <c:v>27000.000000</c:v>
                </c:pt>
                <c:pt idx="33">
                  <c:v>27000.000000</c:v>
                </c:pt>
                <c:pt idx="34">
                  <c:v>27000.000000</c:v>
                </c:pt>
                <c:pt idx="35">
                  <c:v>27000.000000</c:v>
                </c:pt>
                <c:pt idx="36">
                  <c:v>27000.000000</c:v>
                </c:pt>
                <c:pt idx="37">
                  <c:v>27000.000000</c:v>
                </c:pt>
                <c:pt idx="38">
                  <c:v>27000.000000</c:v>
                </c:pt>
                <c:pt idx="39">
                  <c:v>27000.000000</c:v>
                </c:pt>
                <c:pt idx="40">
                  <c:v>27000.000000</c:v>
                </c:pt>
                <c:pt idx="41">
                  <c:v>27000.000000</c:v>
                </c:pt>
                <c:pt idx="42">
                  <c:v>27000.000000</c:v>
                </c:pt>
                <c:pt idx="43">
                  <c:v>27000.000000</c:v>
                </c:pt>
                <c:pt idx="44">
                  <c:v>27000.000000</c:v>
                </c:pt>
                <c:pt idx="45">
                  <c:v>27000.000000</c:v>
                </c:pt>
                <c:pt idx="46">
                  <c:v>27000.000000</c:v>
                </c:pt>
                <c:pt idx="47">
                  <c:v>27000.000000</c:v>
                </c:pt>
                <c:pt idx="48">
                  <c:v>27000.000000</c:v>
                </c:pt>
                <c:pt idx="49">
                  <c:v>27000.000000</c:v>
                </c:pt>
                <c:pt idx="50">
                  <c:v>27000.000000</c:v>
                </c:pt>
                <c:pt idx="51">
                  <c:v>27000.000000</c:v>
                </c:pt>
                <c:pt idx="52">
                  <c:v>27000.000000</c:v>
                </c:pt>
                <c:pt idx="53">
                  <c:v>27000.000000</c:v>
                </c:pt>
                <c:pt idx="54">
                  <c:v>27000.000000</c:v>
                </c:pt>
                <c:pt idx="55">
                  <c:v>27000.000000</c:v>
                </c:pt>
                <c:pt idx="56">
                  <c:v>27000.000000</c:v>
                </c:pt>
                <c:pt idx="57">
                  <c:v>27000.000000</c:v>
                </c:pt>
                <c:pt idx="58">
                  <c:v>27000.000000</c:v>
                </c:pt>
                <c:pt idx="59">
                  <c:v>27000.000000</c:v>
                </c:pt>
                <c:pt idx="60">
                  <c:v>27000.000000</c:v>
                </c:pt>
                <c:pt idx="61">
                  <c:v>27000.000000</c:v>
                </c:pt>
                <c:pt idx="62">
                  <c:v>27000.000000</c:v>
                </c:pt>
                <c:pt idx="63">
                  <c:v>27000.000000</c:v>
                </c:pt>
                <c:pt idx="64">
                  <c:v>27000.000000</c:v>
                </c:pt>
                <c:pt idx="65">
                  <c:v>27000.000000</c:v>
                </c:pt>
                <c:pt idx="66">
                  <c:v>27000.000000</c:v>
                </c:pt>
                <c:pt idx="67">
                  <c:v>27000.000000</c:v>
                </c:pt>
                <c:pt idx="68">
                  <c:v>27000.000000</c:v>
                </c:pt>
                <c:pt idx="69">
                  <c:v>27000.000000</c:v>
                </c:pt>
                <c:pt idx="70">
                  <c:v>27000.000000</c:v>
                </c:pt>
                <c:pt idx="71">
                  <c:v>27000.000000</c:v>
                </c:pt>
                <c:pt idx="72">
                  <c:v>27000.000000</c:v>
                </c:pt>
                <c:pt idx="73">
                  <c:v>27000.000000</c:v>
                </c:pt>
                <c:pt idx="74">
                  <c:v>27000.000000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'Daily'!$D$2</c:f>
              <c:strCache>
                <c:ptCount val="1"/>
                <c:pt idx="0">
                  <c:v>In Echt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rgbClr val="929292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rgbClr val="929292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'Daily'!$A$3:$A$77</c:f>
              <c:strCache>
                <c:ptCount val="75"/>
                <c:pt idx="0">
                  <c:v>Mo., 12. Apr. 2021</c:v>
                </c:pt>
                <c:pt idx="1">
                  <c:v>Di., 13. Apr. 2021</c:v>
                </c:pt>
                <c:pt idx="2">
                  <c:v>Mi., 14. Apr. 2021</c:v>
                </c:pt>
                <c:pt idx="3">
                  <c:v>Do., 15. Apr. 2021</c:v>
                </c:pt>
                <c:pt idx="4">
                  <c:v>Fr., 16. Apr. 2021</c:v>
                </c:pt>
                <c:pt idx="5">
                  <c:v>Mo., 19. Apr. 2021</c:v>
                </c:pt>
                <c:pt idx="6">
                  <c:v>Di., 20. Apr. 2021</c:v>
                </c:pt>
                <c:pt idx="7">
                  <c:v>Mi., 21. Apr. 2021</c:v>
                </c:pt>
                <c:pt idx="8">
                  <c:v>Do., 22. Apr. 2021</c:v>
                </c:pt>
                <c:pt idx="9">
                  <c:v>Fr., 23. Apr. 2021</c:v>
                </c:pt>
                <c:pt idx="10">
                  <c:v>Mo., 26. Apr. 2021</c:v>
                </c:pt>
                <c:pt idx="11">
                  <c:v>Di., 27. Apr. 2021</c:v>
                </c:pt>
                <c:pt idx="12">
                  <c:v>Mi., 28. Apr. 2021</c:v>
                </c:pt>
                <c:pt idx="13">
                  <c:v>Do., 29. Apr. 2021</c:v>
                </c:pt>
                <c:pt idx="14">
                  <c:v>Fr., 30. Apr. 2021</c:v>
                </c:pt>
                <c:pt idx="15">
                  <c:v>Mo., 3. Mai 2021</c:v>
                </c:pt>
                <c:pt idx="16">
                  <c:v>Di., 4. Mai 2021</c:v>
                </c:pt>
                <c:pt idx="17">
                  <c:v>Mi., 5. Mai 2021</c:v>
                </c:pt>
                <c:pt idx="18">
                  <c:v>Do., 6. Mai 2021</c:v>
                </c:pt>
                <c:pt idx="19">
                  <c:v>Fr., 7. Mai 2021</c:v>
                </c:pt>
                <c:pt idx="20">
                  <c:v>Mo., 10. Mai 2021</c:v>
                </c:pt>
                <c:pt idx="21">
                  <c:v>Di., 11. Mai 2021</c:v>
                </c:pt>
                <c:pt idx="22">
                  <c:v>Mi., 12. Mai 2021</c:v>
                </c:pt>
                <c:pt idx="23">
                  <c:v>Do., 13. Mai 2021</c:v>
                </c:pt>
                <c:pt idx="24">
                  <c:v>Fr., 14. Mai 2021</c:v>
                </c:pt>
                <c:pt idx="25">
                  <c:v>Mo., 17. Mai 2021</c:v>
                </c:pt>
                <c:pt idx="26">
                  <c:v>Di., 18. Mai 2021</c:v>
                </c:pt>
                <c:pt idx="27">
                  <c:v>Mi., 19. Mai 2021</c:v>
                </c:pt>
                <c:pt idx="28">
                  <c:v>Do., 20. Mai 2021</c:v>
                </c:pt>
                <c:pt idx="29">
                  <c:v>Fr., 21. Mai 2021</c:v>
                </c:pt>
                <c:pt idx="30">
                  <c:v>Mo., 24. Mai 2021</c:v>
                </c:pt>
                <c:pt idx="31">
                  <c:v>Di., 25. Mai 2021</c:v>
                </c:pt>
                <c:pt idx="32">
                  <c:v>Mi., 26. Mai 2021</c:v>
                </c:pt>
                <c:pt idx="33">
                  <c:v>Do., 27. Mai 2021</c:v>
                </c:pt>
                <c:pt idx="34">
                  <c:v>Fr., 28. Mai 2021</c:v>
                </c:pt>
                <c:pt idx="35">
                  <c:v>Mo., 31. Mai 2021</c:v>
                </c:pt>
                <c:pt idx="36">
                  <c:v>Di., 1. Juni 2021</c:v>
                </c:pt>
                <c:pt idx="37">
                  <c:v>Mi., 2. Juni 2021</c:v>
                </c:pt>
                <c:pt idx="38">
                  <c:v>Do., 3. Juni 2021</c:v>
                </c:pt>
                <c:pt idx="39">
                  <c:v>Fr., 4. Juni 2021</c:v>
                </c:pt>
                <c:pt idx="40">
                  <c:v>Mo., 7. Juni 2021</c:v>
                </c:pt>
                <c:pt idx="41">
                  <c:v>Di., 8. Juni 2021</c:v>
                </c:pt>
                <c:pt idx="42">
                  <c:v>Mi., 9. Juni 2021</c:v>
                </c:pt>
                <c:pt idx="43">
                  <c:v>Do., 10. Juni 2021</c:v>
                </c:pt>
                <c:pt idx="44">
                  <c:v>Fr., 11. Juni 2021</c:v>
                </c:pt>
                <c:pt idx="45">
                  <c:v>Mo., 14. Juni 2021</c:v>
                </c:pt>
                <c:pt idx="46">
                  <c:v>Di., 15. Juni 2021</c:v>
                </c:pt>
                <c:pt idx="47">
                  <c:v>Mi., 16. Juni 2021</c:v>
                </c:pt>
                <c:pt idx="48">
                  <c:v>Do., 17. Juni 2021</c:v>
                </c:pt>
                <c:pt idx="49">
                  <c:v>Fr., 18. Juni 2021</c:v>
                </c:pt>
                <c:pt idx="50">
                  <c:v>Mo., 21. Juni 2021</c:v>
                </c:pt>
                <c:pt idx="51">
                  <c:v>Di., 22. Juni 2021</c:v>
                </c:pt>
                <c:pt idx="52">
                  <c:v>Mi., 23. Juni 2021</c:v>
                </c:pt>
                <c:pt idx="53">
                  <c:v>Do., 24. Juni 2021</c:v>
                </c:pt>
                <c:pt idx="54">
                  <c:v>Fr., 25. Juni 2021</c:v>
                </c:pt>
                <c:pt idx="55">
                  <c:v>Mo., 28. Juni 2021</c:v>
                </c:pt>
                <c:pt idx="56">
                  <c:v>Di., 29. Juni 2021</c:v>
                </c:pt>
                <c:pt idx="57">
                  <c:v>Mi., 30. Juni 2021</c:v>
                </c:pt>
                <c:pt idx="58">
                  <c:v>Do., 1. Juli 2021</c:v>
                </c:pt>
                <c:pt idx="59">
                  <c:v>Fr., 2. Juli 2021</c:v>
                </c:pt>
                <c:pt idx="60">
                  <c:v>Mo., 5. Juli 2021</c:v>
                </c:pt>
                <c:pt idx="61">
                  <c:v>Di., 6. Juli 2021</c:v>
                </c:pt>
                <c:pt idx="62">
                  <c:v>Mi., 7. Juli 2021</c:v>
                </c:pt>
                <c:pt idx="63">
                  <c:v>Do., 8. Juli 2021</c:v>
                </c:pt>
                <c:pt idx="64">
                  <c:v>Fr., 9. Juli 2021</c:v>
                </c:pt>
                <c:pt idx="65">
                  <c:v>Mo., 12. Juli 2021</c:v>
                </c:pt>
                <c:pt idx="66">
                  <c:v>Di., 13. Juli 2021</c:v>
                </c:pt>
                <c:pt idx="67">
                  <c:v>Mi., 14. Juli 2021</c:v>
                </c:pt>
                <c:pt idx="68">
                  <c:v>Do., 15. Juli 2021</c:v>
                </c:pt>
                <c:pt idx="69">
                  <c:v>Fr., 16. Juli 2021</c:v>
                </c:pt>
                <c:pt idx="70">
                  <c:v>Mo., 19. Juli 2021</c:v>
                </c:pt>
                <c:pt idx="71">
                  <c:v>Di., 20. Juli 2021</c:v>
                </c:pt>
                <c:pt idx="72">
                  <c:v>Mi., 21. Juli 2021</c:v>
                </c:pt>
                <c:pt idx="73">
                  <c:v>Do., 22. Juli 2021</c:v>
                </c:pt>
                <c:pt idx="74">
                  <c:v>Fr., 23. Juli 2021</c:v>
                </c:pt>
              </c:strCache>
            </c:strRef>
          </c:cat>
          <c:val>
            <c:numRef>
              <c:f>'Daily'!$D$3:$D$77</c:f>
              <c:numCache>
                <c:ptCount val="74"/>
                <c:pt idx="0">
                  <c:v>25200.000000</c:v>
                </c:pt>
                <c:pt idx="1">
                  <c:v>19800.000000</c:v>
                </c:pt>
                <c:pt idx="2">
                  <c:v>14400.000000</c:v>
                </c:pt>
                <c:pt idx="3">
                  <c:v>27000.000000</c:v>
                </c:pt>
                <c:pt idx="4">
                  <c:v>29400.000000</c:v>
                </c:pt>
                <c:pt idx="5">
                  <c:v>20700.000000</c:v>
                </c:pt>
                <c:pt idx="6">
                  <c:v>30600.000000</c:v>
                </c:pt>
                <c:pt idx="7">
                  <c:v>27900.000000</c:v>
                </c:pt>
                <c:pt idx="8">
                  <c:v>7200.000000</c:v>
                </c:pt>
                <c:pt idx="9">
                  <c:v>41100.000000</c:v>
                </c:pt>
                <c:pt idx="10">
                  <c:v>13800.000000</c:v>
                </c:pt>
                <c:pt idx="11">
                  <c:v>21300.000000</c:v>
                </c:pt>
                <c:pt idx="12">
                  <c:v>30900.000000</c:v>
                </c:pt>
                <c:pt idx="13">
                  <c:v>36900.000000</c:v>
                </c:pt>
                <c:pt idx="14">
                  <c:v>39600.000000</c:v>
                </c:pt>
                <c:pt idx="15">
                  <c:v>19200.000000</c:v>
                </c:pt>
                <c:pt idx="16">
                  <c:v>21600.000000</c:v>
                </c:pt>
                <c:pt idx="17">
                  <c:v>22500.000000</c:v>
                </c:pt>
                <c:pt idx="18">
                  <c:v>18000.000000</c:v>
                </c:pt>
                <c:pt idx="19">
                  <c:v>22200.000000</c:v>
                </c:pt>
                <c:pt idx="20">
                  <c:v>22200.000000</c:v>
                </c:pt>
                <c:pt idx="21">
                  <c:v>30900.000000</c:v>
                </c:pt>
                <c:pt idx="22">
                  <c:v>32400.000000</c:v>
                </c:pt>
                <c:pt idx="23">
                  <c:v>26100.000000</c:v>
                </c:pt>
                <c:pt idx="24">
                  <c:v>23100.000000</c:v>
                </c:pt>
                <c:pt idx="25">
                  <c:v>19800.000000</c:v>
                </c:pt>
                <c:pt idx="26">
                  <c:v>13800.000000</c:v>
                </c:pt>
                <c:pt idx="27">
                  <c:v>24900.000000</c:v>
                </c:pt>
                <c:pt idx="28">
                  <c:v>22200.000000</c:v>
                </c:pt>
                <c:pt idx="29">
                  <c:v>21900.000000</c:v>
                </c:pt>
                <c:pt idx="30">
                  <c:v>22500.000000</c:v>
                </c:pt>
                <c:pt idx="31">
                  <c:v>22200.000000</c:v>
                </c:pt>
                <c:pt idx="32">
                  <c:v>26400.000000</c:v>
                </c:pt>
                <c:pt idx="33">
                  <c:v>27000.000000</c:v>
                </c:pt>
                <c:pt idx="34">
                  <c:v>24300.000000</c:v>
                </c:pt>
                <c:pt idx="35">
                  <c:v>15000.000000</c:v>
                </c:pt>
                <c:pt idx="36">
                  <c:v>24300.000000</c:v>
                </c:pt>
                <c:pt idx="37">
                  <c:v>21600.000000</c:v>
                </c:pt>
                <c:pt idx="38">
                  <c:v>26400.000000</c:v>
                </c:pt>
                <c:pt idx="39">
                  <c:v>27000.000000</c:v>
                </c:pt>
                <c:pt idx="40">
                  <c:v>12600.000000</c:v>
                </c:pt>
                <c:pt idx="41">
                  <c:v>18000.000000</c:v>
                </c:pt>
                <c:pt idx="42">
                  <c:v>20700.000000</c:v>
                </c:pt>
                <c:pt idx="43">
                  <c:v>31500.000000</c:v>
                </c:pt>
                <c:pt idx="44">
                  <c:v>25500.000000</c:v>
                </c:pt>
                <c:pt idx="45">
                  <c:v>0.000000</c:v>
                </c:pt>
                <c:pt idx="46">
                  <c:v>3600.000000</c:v>
                </c:pt>
                <c:pt idx="47">
                  <c:v>0.000000</c:v>
                </c:pt>
                <c:pt idx="48">
                  <c:v>0.000000</c:v>
                </c:pt>
                <c:pt idx="49">
                  <c:v>6000.000000</c:v>
                </c:pt>
                <c:pt idx="50">
                  <c:v>27000.000000</c:v>
                </c:pt>
                <c:pt idx="51">
                  <c:v>30000.000000</c:v>
                </c:pt>
                <c:pt idx="52">
                  <c:v>7200.000000</c:v>
                </c:pt>
                <c:pt idx="53">
                  <c:v>24300.000000</c:v>
                </c:pt>
                <c:pt idx="54">
                  <c:v>20700.000000</c:v>
                </c:pt>
                <c:pt idx="55">
                  <c:v>0.000000</c:v>
                </c:pt>
                <c:pt idx="56">
                  <c:v>29100.000000</c:v>
                </c:pt>
                <c:pt idx="57">
                  <c:v>26100.000000</c:v>
                </c:pt>
                <c:pt idx="58">
                  <c:v>30000.000000</c:v>
                </c:pt>
                <c:pt idx="59">
                  <c:v>20700.000000</c:v>
                </c:pt>
                <c:pt idx="60">
                  <c:v>16200.000000</c:v>
                </c:pt>
                <c:pt idx="61">
                  <c:v>22800.000000</c:v>
                </c:pt>
                <c:pt idx="62">
                  <c:v>25200.000000</c:v>
                </c:pt>
                <c:pt idx="63">
                  <c:v>33300.000000</c:v>
                </c:pt>
                <c:pt idx="64">
                  <c:v>27000.000000</c:v>
                </c:pt>
                <c:pt idx="65">
                  <c:v>21600.000000</c:v>
                </c:pt>
                <c:pt idx="66">
                  <c:v>10800.000000</c:v>
                </c:pt>
                <c:pt idx="67">
                  <c:v>27000.000000</c:v>
                </c:pt>
                <c:pt idx="68">
                  <c:v>19200.000000</c:v>
                </c:pt>
                <c:pt idx="69">
                  <c:v>32400.000000</c:v>
                </c:pt>
                <c:pt idx="70">
                  <c:v>22500.000000</c:v>
                </c:pt>
                <c:pt idx="71">
                  <c:v>29700.000000</c:v>
                </c:pt>
                <c:pt idx="72">
                  <c:v>25200.000000</c:v>
                </c:pt>
                <c:pt idx="73">
                  <c:v>7200.000000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'Daily'!$E$2</c:f>
              <c:strCache>
                <c:ptCount val="1"/>
                <c:pt idx="0">
                  <c:v>5 Tage-Schnitt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rgbClr val="F8BA00"/>
              </a:solidFill>
              <a:prstDash val="solid"/>
              <a:miter lim="400000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 w="50800" cap="flat">
                <a:solidFill>
                  <a:srgbClr val="F8BA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'Daily'!$A$3:$A$77</c:f>
              <c:strCache>
                <c:ptCount val="75"/>
                <c:pt idx="0">
                  <c:v>Mo., 12. Apr. 2021</c:v>
                </c:pt>
                <c:pt idx="1">
                  <c:v>Di., 13. Apr. 2021</c:v>
                </c:pt>
                <c:pt idx="2">
                  <c:v>Mi., 14. Apr. 2021</c:v>
                </c:pt>
                <c:pt idx="3">
                  <c:v>Do., 15. Apr. 2021</c:v>
                </c:pt>
                <c:pt idx="4">
                  <c:v>Fr., 16. Apr. 2021</c:v>
                </c:pt>
                <c:pt idx="5">
                  <c:v>Mo., 19. Apr. 2021</c:v>
                </c:pt>
                <c:pt idx="6">
                  <c:v>Di., 20. Apr. 2021</c:v>
                </c:pt>
                <c:pt idx="7">
                  <c:v>Mi., 21. Apr. 2021</c:v>
                </c:pt>
                <c:pt idx="8">
                  <c:v>Do., 22. Apr. 2021</c:v>
                </c:pt>
                <c:pt idx="9">
                  <c:v>Fr., 23. Apr. 2021</c:v>
                </c:pt>
                <c:pt idx="10">
                  <c:v>Mo., 26. Apr. 2021</c:v>
                </c:pt>
                <c:pt idx="11">
                  <c:v>Di., 27. Apr. 2021</c:v>
                </c:pt>
                <c:pt idx="12">
                  <c:v>Mi., 28. Apr. 2021</c:v>
                </c:pt>
                <c:pt idx="13">
                  <c:v>Do., 29. Apr. 2021</c:v>
                </c:pt>
                <c:pt idx="14">
                  <c:v>Fr., 30. Apr. 2021</c:v>
                </c:pt>
                <c:pt idx="15">
                  <c:v>Mo., 3. Mai 2021</c:v>
                </c:pt>
                <c:pt idx="16">
                  <c:v>Di., 4. Mai 2021</c:v>
                </c:pt>
                <c:pt idx="17">
                  <c:v>Mi., 5. Mai 2021</c:v>
                </c:pt>
                <c:pt idx="18">
                  <c:v>Do., 6. Mai 2021</c:v>
                </c:pt>
                <c:pt idx="19">
                  <c:v>Fr., 7. Mai 2021</c:v>
                </c:pt>
                <c:pt idx="20">
                  <c:v>Mo., 10. Mai 2021</c:v>
                </c:pt>
                <c:pt idx="21">
                  <c:v>Di., 11. Mai 2021</c:v>
                </c:pt>
                <c:pt idx="22">
                  <c:v>Mi., 12. Mai 2021</c:v>
                </c:pt>
                <c:pt idx="23">
                  <c:v>Do., 13. Mai 2021</c:v>
                </c:pt>
                <c:pt idx="24">
                  <c:v>Fr., 14. Mai 2021</c:v>
                </c:pt>
                <c:pt idx="25">
                  <c:v>Mo., 17. Mai 2021</c:v>
                </c:pt>
                <c:pt idx="26">
                  <c:v>Di., 18. Mai 2021</c:v>
                </c:pt>
                <c:pt idx="27">
                  <c:v>Mi., 19. Mai 2021</c:v>
                </c:pt>
                <c:pt idx="28">
                  <c:v>Do., 20. Mai 2021</c:v>
                </c:pt>
                <c:pt idx="29">
                  <c:v>Fr., 21. Mai 2021</c:v>
                </c:pt>
                <c:pt idx="30">
                  <c:v>Mo., 24. Mai 2021</c:v>
                </c:pt>
                <c:pt idx="31">
                  <c:v>Di., 25. Mai 2021</c:v>
                </c:pt>
                <c:pt idx="32">
                  <c:v>Mi., 26. Mai 2021</c:v>
                </c:pt>
                <c:pt idx="33">
                  <c:v>Do., 27. Mai 2021</c:v>
                </c:pt>
                <c:pt idx="34">
                  <c:v>Fr., 28. Mai 2021</c:v>
                </c:pt>
                <c:pt idx="35">
                  <c:v>Mo., 31. Mai 2021</c:v>
                </c:pt>
                <c:pt idx="36">
                  <c:v>Di., 1. Juni 2021</c:v>
                </c:pt>
                <c:pt idx="37">
                  <c:v>Mi., 2. Juni 2021</c:v>
                </c:pt>
                <c:pt idx="38">
                  <c:v>Do., 3. Juni 2021</c:v>
                </c:pt>
                <c:pt idx="39">
                  <c:v>Fr., 4. Juni 2021</c:v>
                </c:pt>
                <c:pt idx="40">
                  <c:v>Mo., 7. Juni 2021</c:v>
                </c:pt>
                <c:pt idx="41">
                  <c:v>Di., 8. Juni 2021</c:v>
                </c:pt>
                <c:pt idx="42">
                  <c:v>Mi., 9. Juni 2021</c:v>
                </c:pt>
                <c:pt idx="43">
                  <c:v>Do., 10. Juni 2021</c:v>
                </c:pt>
                <c:pt idx="44">
                  <c:v>Fr., 11. Juni 2021</c:v>
                </c:pt>
                <c:pt idx="45">
                  <c:v>Mo., 14. Juni 2021</c:v>
                </c:pt>
                <c:pt idx="46">
                  <c:v>Di., 15. Juni 2021</c:v>
                </c:pt>
                <c:pt idx="47">
                  <c:v>Mi., 16. Juni 2021</c:v>
                </c:pt>
                <c:pt idx="48">
                  <c:v>Do., 17. Juni 2021</c:v>
                </c:pt>
                <c:pt idx="49">
                  <c:v>Fr., 18. Juni 2021</c:v>
                </c:pt>
                <c:pt idx="50">
                  <c:v>Mo., 21. Juni 2021</c:v>
                </c:pt>
                <c:pt idx="51">
                  <c:v>Di., 22. Juni 2021</c:v>
                </c:pt>
                <c:pt idx="52">
                  <c:v>Mi., 23. Juni 2021</c:v>
                </c:pt>
                <c:pt idx="53">
                  <c:v>Do., 24. Juni 2021</c:v>
                </c:pt>
                <c:pt idx="54">
                  <c:v>Fr., 25. Juni 2021</c:v>
                </c:pt>
                <c:pt idx="55">
                  <c:v>Mo., 28. Juni 2021</c:v>
                </c:pt>
                <c:pt idx="56">
                  <c:v>Di., 29. Juni 2021</c:v>
                </c:pt>
                <c:pt idx="57">
                  <c:v>Mi., 30. Juni 2021</c:v>
                </c:pt>
                <c:pt idx="58">
                  <c:v>Do., 1. Juli 2021</c:v>
                </c:pt>
                <c:pt idx="59">
                  <c:v>Fr., 2. Juli 2021</c:v>
                </c:pt>
                <c:pt idx="60">
                  <c:v>Mo., 5. Juli 2021</c:v>
                </c:pt>
                <c:pt idx="61">
                  <c:v>Di., 6. Juli 2021</c:v>
                </c:pt>
                <c:pt idx="62">
                  <c:v>Mi., 7. Juli 2021</c:v>
                </c:pt>
                <c:pt idx="63">
                  <c:v>Do., 8. Juli 2021</c:v>
                </c:pt>
                <c:pt idx="64">
                  <c:v>Fr., 9. Juli 2021</c:v>
                </c:pt>
                <c:pt idx="65">
                  <c:v>Mo., 12. Juli 2021</c:v>
                </c:pt>
                <c:pt idx="66">
                  <c:v>Di., 13. Juli 2021</c:v>
                </c:pt>
                <c:pt idx="67">
                  <c:v>Mi., 14. Juli 2021</c:v>
                </c:pt>
                <c:pt idx="68">
                  <c:v>Do., 15. Juli 2021</c:v>
                </c:pt>
                <c:pt idx="69">
                  <c:v>Fr., 16. Juli 2021</c:v>
                </c:pt>
                <c:pt idx="70">
                  <c:v>Mo., 19. Juli 2021</c:v>
                </c:pt>
                <c:pt idx="71">
                  <c:v>Di., 20. Juli 2021</c:v>
                </c:pt>
                <c:pt idx="72">
                  <c:v>Mi., 21. Juli 2021</c:v>
                </c:pt>
                <c:pt idx="73">
                  <c:v>Do., 22. Juli 2021</c:v>
                </c:pt>
                <c:pt idx="74">
                  <c:v>Fr., 23. Juli 2021</c:v>
                </c:pt>
              </c:strCache>
            </c:strRef>
          </c:cat>
          <c:val>
            <c:numRef>
              <c:f>'Daily'!$E$3:$E$77</c:f>
              <c:numCache>
                <c:ptCount val="70"/>
                <c:pt idx="2">
                  <c:v>23160.000000</c:v>
                </c:pt>
                <c:pt idx="3">
                  <c:v>22260.000000</c:v>
                </c:pt>
                <c:pt idx="4">
                  <c:v>24420.000000</c:v>
                </c:pt>
                <c:pt idx="5">
                  <c:v>27120.000000</c:v>
                </c:pt>
                <c:pt idx="6">
                  <c:v>23160.000000</c:v>
                </c:pt>
                <c:pt idx="7">
                  <c:v>25500.000000</c:v>
                </c:pt>
                <c:pt idx="8">
                  <c:v>24120.000000</c:v>
                </c:pt>
                <c:pt idx="9">
                  <c:v>22260.000000</c:v>
                </c:pt>
                <c:pt idx="10">
                  <c:v>22860.000000</c:v>
                </c:pt>
                <c:pt idx="11">
                  <c:v>28800.000000</c:v>
                </c:pt>
                <c:pt idx="12">
                  <c:v>28500.000000</c:v>
                </c:pt>
                <c:pt idx="13">
                  <c:v>29580.000000</c:v>
                </c:pt>
                <c:pt idx="14">
                  <c:v>29640.000000</c:v>
                </c:pt>
                <c:pt idx="15">
                  <c:v>27960.000000</c:v>
                </c:pt>
                <c:pt idx="16">
                  <c:v>24180.000000</c:v>
                </c:pt>
                <c:pt idx="17">
                  <c:v>20700.000000</c:v>
                </c:pt>
                <c:pt idx="18">
                  <c:v>21300.000000</c:v>
                </c:pt>
                <c:pt idx="19">
                  <c:v>23160.000000</c:v>
                </c:pt>
                <c:pt idx="20">
                  <c:v>25140.000000</c:v>
                </c:pt>
                <c:pt idx="21">
                  <c:v>26760.000000</c:v>
                </c:pt>
                <c:pt idx="22">
                  <c:v>26940.000000</c:v>
                </c:pt>
                <c:pt idx="23">
                  <c:v>26460.000000</c:v>
                </c:pt>
                <c:pt idx="24">
                  <c:v>23040.000000</c:v>
                </c:pt>
                <c:pt idx="25">
                  <c:v>21540.000000</c:v>
                </c:pt>
                <c:pt idx="26">
                  <c:v>20760.000000</c:v>
                </c:pt>
                <c:pt idx="27">
                  <c:v>20520.000000</c:v>
                </c:pt>
                <c:pt idx="28">
                  <c:v>21060.000000</c:v>
                </c:pt>
                <c:pt idx="29">
                  <c:v>22740.000000</c:v>
                </c:pt>
                <c:pt idx="30">
                  <c:v>23040.000000</c:v>
                </c:pt>
                <c:pt idx="31">
                  <c:v>24000.000000</c:v>
                </c:pt>
                <c:pt idx="32">
                  <c:v>24480.000000</c:v>
                </c:pt>
                <c:pt idx="33">
                  <c:v>22980.000000</c:v>
                </c:pt>
                <c:pt idx="34">
                  <c:v>23400.000000</c:v>
                </c:pt>
                <c:pt idx="35">
                  <c:v>22440.000000</c:v>
                </c:pt>
                <c:pt idx="36">
                  <c:v>22320.000000</c:v>
                </c:pt>
                <c:pt idx="37">
                  <c:v>22860.000000</c:v>
                </c:pt>
                <c:pt idx="38">
                  <c:v>22380.000000</c:v>
                </c:pt>
                <c:pt idx="39">
                  <c:v>21120.000000</c:v>
                </c:pt>
                <c:pt idx="40">
                  <c:v>20940.000000</c:v>
                </c:pt>
                <c:pt idx="41">
                  <c:v>21960.000000</c:v>
                </c:pt>
                <c:pt idx="42">
                  <c:v>21660.000000</c:v>
                </c:pt>
                <c:pt idx="43">
                  <c:v>19140.000000</c:v>
                </c:pt>
                <c:pt idx="44">
                  <c:v>16260.000000</c:v>
                </c:pt>
                <c:pt idx="45">
                  <c:v>12120.000000</c:v>
                </c:pt>
                <c:pt idx="46">
                  <c:v>5820.000000</c:v>
                </c:pt>
                <c:pt idx="47">
                  <c:v>1920.000000</c:v>
                </c:pt>
                <c:pt idx="48">
                  <c:v>7320.000000</c:v>
                </c:pt>
                <c:pt idx="49">
                  <c:v>12600.000000</c:v>
                </c:pt>
                <c:pt idx="50">
                  <c:v>14040.000000</c:v>
                </c:pt>
                <c:pt idx="51">
                  <c:v>18900.000000</c:v>
                </c:pt>
                <c:pt idx="52">
                  <c:v>21840.000000</c:v>
                </c:pt>
                <c:pt idx="53">
                  <c:v>16440.000000</c:v>
                </c:pt>
                <c:pt idx="54">
                  <c:v>16260.000000</c:v>
                </c:pt>
                <c:pt idx="55">
                  <c:v>20040.000000</c:v>
                </c:pt>
                <c:pt idx="56">
                  <c:v>21180.000000</c:v>
                </c:pt>
                <c:pt idx="57">
                  <c:v>21180.000000</c:v>
                </c:pt>
                <c:pt idx="58">
                  <c:v>24420.000000</c:v>
                </c:pt>
                <c:pt idx="59">
                  <c:v>23160.000000</c:v>
                </c:pt>
                <c:pt idx="60">
                  <c:v>22980.000000</c:v>
                </c:pt>
                <c:pt idx="61">
                  <c:v>23640.000000</c:v>
                </c:pt>
                <c:pt idx="62">
                  <c:v>24900.000000</c:v>
                </c:pt>
                <c:pt idx="63">
                  <c:v>25980.000000</c:v>
                </c:pt>
                <c:pt idx="64">
                  <c:v>23580.000000</c:v>
                </c:pt>
                <c:pt idx="65">
                  <c:v>23940.000000</c:v>
                </c:pt>
                <c:pt idx="66">
                  <c:v>21120.000000</c:v>
                </c:pt>
                <c:pt idx="67">
                  <c:v>22200.000000</c:v>
                </c:pt>
                <c:pt idx="68">
                  <c:v>22380.000000</c:v>
                </c:pt>
                <c:pt idx="69">
                  <c:v>26160.000000</c:v>
                </c:pt>
                <c:pt idx="70">
                  <c:v>25800.000000</c:v>
                </c:pt>
                <c:pt idx="71">
                  <c:v>23400.000000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27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tickLblSkip val="5"/>
        <c:noMultiLvlLbl val="1"/>
      </c:catAx>
      <c:valAx>
        <c:axId val="2094734553"/>
        <c:scaling>
          <c:orientation val="minMax"/>
          <c:max val="54000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h]&quot;h&quot; m&quot;m&quot; s&quot;s&quot;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</c:valAx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848567"/>
          <c:y val="0.0329891"/>
          <c:w val="0.137808"/>
          <c:h val="0.166805"/>
        </c:manualLayout>
      </c:layout>
      <c:overlay val="1"/>
      <c:spPr>
        <a:solidFill>
          <a:srgbClr val="FFFFFF"/>
        </a:solidFill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793877</xdr:colOff>
      <xdr:row>0</xdr:row>
      <xdr:rowOff>126466</xdr:rowOff>
    </xdr:from>
    <xdr:to>
      <xdr:col>13</xdr:col>
      <xdr:colOff>356933</xdr:colOff>
      <xdr:row>13</xdr:row>
      <xdr:rowOff>126212</xdr:rowOff>
    </xdr:to>
    <xdr:graphicFrame>
      <xdr:nvGraphicFramePr>
        <xdr:cNvPr id="2" name="2D-Liniendiagramm"/>
        <xdr:cNvGraphicFramePr/>
      </xdr:nvGraphicFramePr>
      <xdr:xfrm>
        <a:off x="6292977" y="126466"/>
        <a:ext cx="6167057" cy="366115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8</xdr:col>
      <xdr:colOff>793877</xdr:colOff>
      <xdr:row>14</xdr:row>
      <xdr:rowOff>168145</xdr:rowOff>
    </xdr:from>
    <xdr:to>
      <xdr:col>13</xdr:col>
      <xdr:colOff>356933</xdr:colOff>
      <xdr:row>29</xdr:row>
      <xdr:rowOff>1521</xdr:rowOff>
    </xdr:to>
    <xdr:graphicFrame>
      <xdr:nvGraphicFramePr>
        <xdr:cNvPr id="3" name="2D-Liniendiagramm"/>
        <xdr:cNvGraphicFramePr/>
      </xdr:nvGraphicFramePr>
      <xdr:xfrm>
        <a:off x="6292977" y="4084190"/>
        <a:ext cx="6167057" cy="366115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426595</xdr:colOff>
      <xdr:row>1</xdr:row>
      <xdr:rowOff>55612</xdr:rowOff>
    </xdr:from>
    <xdr:to>
      <xdr:col>12</xdr:col>
      <xdr:colOff>285017</xdr:colOff>
      <xdr:row>17</xdr:row>
      <xdr:rowOff>155870</xdr:rowOff>
    </xdr:to>
    <xdr:graphicFrame>
      <xdr:nvGraphicFramePr>
        <xdr:cNvPr id="5" name="2D-Liniendiagramm"/>
        <xdr:cNvGraphicFramePr/>
      </xdr:nvGraphicFramePr>
      <xdr:xfrm>
        <a:off x="4909695" y="406767"/>
        <a:ext cx="8570623" cy="419854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inglescode.github.io/2020/04/25/setup-latex-atom/" TargetMode="External"/><Relationship Id="rId2" Type="http://schemas.openxmlformats.org/officeDocument/2006/relationships/hyperlink" Target="https://www.desmos.com/calculator/ppp0z5wnvx" TargetMode="External"/><Relationship Id="rId3" Type="http://schemas.openxmlformats.org/officeDocument/2006/relationships/hyperlink" Target="https://api.csswg.org/bikeshed/?force=1&amp;url=https://raw.githubusercontent.com/vector-of-bool/pitchfork/develop/data/spec.bs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F2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7.11719" style="1" customWidth="1"/>
    <col min="3" max="3" width="7.41406" style="1" customWidth="1"/>
    <col min="4" max="4" width="9.27344" style="1" customWidth="1"/>
    <col min="5" max="5" width="36.2344" style="1" customWidth="1"/>
    <col min="6" max="6" width="54.515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55" customHeight="1">
      <c r="A3" s="4">
        <v>44295</v>
      </c>
      <c r="B3" s="5">
        <v>44298.635416666664</v>
      </c>
      <c r="C3" s="6">
        <v>44298.677083333336</v>
      </c>
      <c r="D3" s="7">
        <f>C3-B3</f>
        <v>0.04166666666666666</v>
      </c>
      <c r="E3" t="s" s="8">
        <v>7</v>
      </c>
      <c r="F3" s="8"/>
    </row>
    <row r="4" ht="20.7" customHeight="1">
      <c r="A4" t="s" s="9">
        <v>8</v>
      </c>
      <c r="B4" s="10"/>
      <c r="C4" s="11"/>
      <c r="D4" s="12">
        <f>SUM(D3)</f>
        <v>0.04166666666666666</v>
      </c>
      <c r="E4" s="11"/>
      <c r="F4" s="11"/>
    </row>
    <row r="5" ht="20.35" customHeight="1">
      <c r="A5" s="13">
        <v>44298</v>
      </c>
      <c r="B5" s="14">
        <v>44298.458333333336</v>
      </c>
      <c r="C5" s="15">
        <v>44298.5625</v>
      </c>
      <c r="D5" s="16">
        <f>C5-B5</f>
        <v>0.1041666666666667</v>
      </c>
      <c r="E5" t="s" s="17">
        <v>9</v>
      </c>
      <c r="F5" t="s" s="17">
        <v>10</v>
      </c>
    </row>
    <row r="6" ht="20.05" customHeight="1">
      <c r="A6" s="18"/>
      <c r="B6" s="19">
        <v>44298.625</v>
      </c>
      <c r="C6" s="20">
        <v>44298.75</v>
      </c>
      <c r="D6" s="21">
        <f>C6-B6</f>
        <v>0.125</v>
      </c>
      <c r="E6" t="s" s="22">
        <v>11</v>
      </c>
      <c r="F6" s="23"/>
    </row>
    <row r="7" ht="32.05" customHeight="1">
      <c r="A7" s="18"/>
      <c r="B7" s="19">
        <v>44298.791666666664</v>
      </c>
      <c r="C7" s="20">
        <v>44298.854166666664</v>
      </c>
      <c r="D7" s="24">
        <f>C7-B7</f>
        <v>0.0625</v>
      </c>
      <c r="E7" t="s" s="22">
        <v>12</v>
      </c>
      <c r="F7" t="s" s="22">
        <v>13</v>
      </c>
    </row>
    <row r="8" ht="32.05" customHeight="1">
      <c r="A8" s="18">
        <v>44299</v>
      </c>
      <c r="B8" s="19">
        <v>44299.583333333336</v>
      </c>
      <c r="C8" s="20">
        <v>44299.75</v>
      </c>
      <c r="D8" s="21">
        <f>C8-B8</f>
        <v>0.1666666666666667</v>
      </c>
      <c r="E8" t="s" s="22">
        <v>14</v>
      </c>
      <c r="F8" t="s" s="22">
        <v>15</v>
      </c>
    </row>
    <row r="9" ht="20.05" customHeight="1">
      <c r="A9" s="18"/>
      <c r="B9" s="19">
        <v>44299.791666666664</v>
      </c>
      <c r="C9" s="20">
        <v>44299.854166666664</v>
      </c>
      <c r="D9" s="24">
        <f>C9-B9</f>
        <v>0.0625</v>
      </c>
      <c r="E9" t="s" s="22">
        <v>14</v>
      </c>
      <c r="F9" t="s" s="22">
        <v>16</v>
      </c>
    </row>
    <row r="10" ht="20.05" customHeight="1">
      <c r="A10" s="18">
        <v>44300</v>
      </c>
      <c r="B10" s="19">
        <v>44300.5</v>
      </c>
      <c r="C10" s="20">
        <v>44300.541666666664</v>
      </c>
      <c r="D10" s="21">
        <f>C10-B10</f>
        <v>0.04166666666666666</v>
      </c>
      <c r="E10" t="s" s="22">
        <v>17</v>
      </c>
      <c r="F10" s="23"/>
    </row>
    <row r="11" ht="20.05" customHeight="1">
      <c r="A11" s="18"/>
      <c r="B11" s="19">
        <v>44300.5625</v>
      </c>
      <c r="C11" s="20">
        <v>44300.645833333336</v>
      </c>
      <c r="D11" s="21">
        <f>C11-B11</f>
        <v>0.08333333333333333</v>
      </c>
      <c r="E11" t="s" s="22">
        <v>18</v>
      </c>
      <c r="F11" t="s" s="22">
        <v>19</v>
      </c>
    </row>
    <row r="12" ht="20.05" customHeight="1">
      <c r="A12" s="18"/>
      <c r="B12" s="19">
        <v>44300.729166666664</v>
      </c>
      <c r="C12" s="20">
        <v>44300.770833333336</v>
      </c>
      <c r="D12" s="21">
        <f>C12-B12</f>
        <v>0.04166666666666666</v>
      </c>
      <c r="E12" t="s" s="22">
        <v>18</v>
      </c>
      <c r="F12" t="s" s="22">
        <v>20</v>
      </c>
    </row>
    <row r="13" ht="32.05" customHeight="1">
      <c r="A13" s="18">
        <v>44301</v>
      </c>
      <c r="B13" s="19">
        <v>44301.416666666664</v>
      </c>
      <c r="C13" s="20">
        <v>44301.583333333336</v>
      </c>
      <c r="D13" s="21">
        <f>C13-B13</f>
        <v>0.1666666666666667</v>
      </c>
      <c r="E13" t="s" s="22">
        <v>18</v>
      </c>
      <c r="F13" t="s" s="22">
        <v>21</v>
      </c>
    </row>
    <row r="14" ht="20.05" customHeight="1">
      <c r="A14" s="18"/>
      <c r="B14" s="19">
        <v>44301.6875</v>
      </c>
      <c r="C14" s="20">
        <v>44301.729166666664</v>
      </c>
      <c r="D14" s="21">
        <f>C14-B14</f>
        <v>0.04166666666666666</v>
      </c>
      <c r="E14" t="s" s="22">
        <v>22</v>
      </c>
      <c r="F14" t="s" s="22">
        <v>23</v>
      </c>
    </row>
    <row r="15" ht="20.05" customHeight="1">
      <c r="A15" s="18"/>
      <c r="B15" s="19">
        <v>44301.729166666664</v>
      </c>
      <c r="C15" s="20">
        <v>44301.833333333336</v>
      </c>
      <c r="D15" s="24">
        <f>C15-B15</f>
        <v>0.1041666666666667</v>
      </c>
      <c r="E15" t="s" s="22">
        <v>24</v>
      </c>
      <c r="F15" t="s" s="22">
        <v>25</v>
      </c>
    </row>
    <row r="16" ht="20.05" customHeight="1">
      <c r="A16" s="18">
        <v>44302</v>
      </c>
      <c r="B16" s="19">
        <v>44302.333333333336</v>
      </c>
      <c r="C16" s="20">
        <v>44302.354166666664</v>
      </c>
      <c r="D16" s="25">
        <f>C16-B16</f>
        <v>0.02083333333333333</v>
      </c>
      <c r="E16" t="s" s="22">
        <v>26</v>
      </c>
      <c r="F16" s="23"/>
    </row>
    <row r="17" ht="20.05" customHeight="1">
      <c r="A17" s="18"/>
      <c r="B17" s="19">
        <v>44302.375</v>
      </c>
      <c r="C17" s="20">
        <v>44302.520833333336</v>
      </c>
      <c r="D17" s="24">
        <f>C17-B17</f>
        <v>0.1458333333333333</v>
      </c>
      <c r="E17" t="s" s="22">
        <v>27</v>
      </c>
      <c r="F17" t="s" s="22">
        <v>28</v>
      </c>
    </row>
    <row r="18" ht="20.05" customHeight="1">
      <c r="A18" s="18"/>
      <c r="B18" s="19">
        <v>44302.541666666664</v>
      </c>
      <c r="C18" s="20">
        <v>44302.5625</v>
      </c>
      <c r="D18" s="25">
        <f>C18-B18</f>
        <v>0.02083333333333333</v>
      </c>
      <c r="E18" t="s" s="22">
        <v>29</v>
      </c>
      <c r="F18" t="s" s="22">
        <v>30</v>
      </c>
    </row>
    <row r="19" ht="20.05" customHeight="1">
      <c r="A19" s="18"/>
      <c r="B19" s="19">
        <v>44302.5625</v>
      </c>
      <c r="C19" s="20">
        <v>44302.625</v>
      </c>
      <c r="D19" s="24">
        <f>C19-B19</f>
        <v>0.0625</v>
      </c>
      <c r="E19" t="s" s="22">
        <v>27</v>
      </c>
      <c r="F19" t="s" s="22">
        <v>31</v>
      </c>
    </row>
    <row r="20" ht="20.05" customHeight="1">
      <c r="A20" s="18"/>
      <c r="B20" s="19">
        <v>44302.635416666664</v>
      </c>
      <c r="C20" s="20">
        <v>44302.684027777781</v>
      </c>
      <c r="D20" s="24">
        <f>C20-B20</f>
        <v>0.04861111111111111</v>
      </c>
      <c r="E20" t="s" s="22">
        <v>7</v>
      </c>
      <c r="F20" s="23"/>
    </row>
    <row r="21" ht="20.35" customHeight="1">
      <c r="A21" s="26">
        <v>44304</v>
      </c>
      <c r="B21" s="27">
        <v>44304.5</v>
      </c>
      <c r="C21" s="28">
        <v>44304.541666666664</v>
      </c>
      <c r="D21" s="29">
        <f>C21-B21</f>
        <v>0.04166666666666666</v>
      </c>
      <c r="E21" t="s" s="30">
        <v>32</v>
      </c>
      <c r="F21" t="s" s="30">
        <v>33</v>
      </c>
    </row>
    <row r="22" ht="20.7" customHeight="1">
      <c r="A22" t="s" s="9">
        <v>34</v>
      </c>
      <c r="B22" s="10"/>
      <c r="C22" s="11"/>
      <c r="D22" s="31">
        <v>1.340277777777778</v>
      </c>
      <c r="E22" s="11"/>
      <c r="F22" s="11"/>
    </row>
    <row r="23" ht="32.35" customHeight="1">
      <c r="A23" s="13">
        <v>44305</v>
      </c>
      <c r="B23" s="14">
        <v>44305.489583333336</v>
      </c>
      <c r="C23" s="15">
        <v>44305.541666666664</v>
      </c>
      <c r="D23" s="16">
        <f>C23-B23</f>
        <v>0.05208333333333334</v>
      </c>
      <c r="E23" t="s" s="17">
        <v>35</v>
      </c>
      <c r="F23" t="s" s="17">
        <v>36</v>
      </c>
    </row>
    <row r="24" ht="20.05" customHeight="1">
      <c r="A24" s="18"/>
      <c r="B24" s="19">
        <v>44305.5625</v>
      </c>
      <c r="C24" s="20">
        <v>44305.604166666664</v>
      </c>
      <c r="D24" s="21">
        <f>C24-B24</f>
        <v>0.04166666666666666</v>
      </c>
      <c r="E24" t="s" s="22">
        <v>37</v>
      </c>
      <c r="F24" t="s" s="22">
        <v>38</v>
      </c>
    </row>
    <row r="25" ht="20.05" customHeight="1">
      <c r="A25" s="18"/>
      <c r="B25" s="19">
        <v>44305.708333333336</v>
      </c>
      <c r="C25" s="20">
        <v>44305.854166666664</v>
      </c>
      <c r="D25" s="24">
        <f>C25-B25</f>
        <v>0.1458333333333333</v>
      </c>
      <c r="E25" t="s" s="22">
        <v>27</v>
      </c>
      <c r="F25" t="s" s="22">
        <v>39</v>
      </c>
    </row>
    <row r="26" ht="20.05" customHeight="1">
      <c r="A26" s="18">
        <v>44306</v>
      </c>
      <c r="B26" s="19">
        <v>44306.375</v>
      </c>
      <c r="C26" s="20">
        <v>44306.458333333336</v>
      </c>
      <c r="D26" s="21">
        <f>C26-B26</f>
        <v>0.08333333333333333</v>
      </c>
      <c r="E26" t="s" s="22">
        <v>27</v>
      </c>
      <c r="F26" t="s" s="22">
        <v>40</v>
      </c>
    </row>
    <row r="27" ht="20.05" customHeight="1">
      <c r="A27" s="18"/>
      <c r="B27" s="19">
        <v>44306.479166666664</v>
      </c>
      <c r="C27" s="20">
        <v>44306.520833333336</v>
      </c>
      <c r="D27" s="21">
        <f>C27-B27</f>
        <v>0.04166666666666666</v>
      </c>
      <c r="E27" t="s" s="22">
        <v>27</v>
      </c>
      <c r="F27" t="s" s="22">
        <v>41</v>
      </c>
    </row>
    <row r="28" ht="20.05" customHeight="1">
      <c r="A28" s="18"/>
      <c r="B28" s="19">
        <v>44306.5625</v>
      </c>
      <c r="C28" s="20">
        <v>44306.6875</v>
      </c>
      <c r="D28" s="21">
        <f>C28-B28</f>
        <v>0.125</v>
      </c>
      <c r="E28" t="s" s="22">
        <v>27</v>
      </c>
      <c r="F28" t="s" s="22">
        <v>42</v>
      </c>
    </row>
    <row r="29" ht="20.05" customHeight="1">
      <c r="A29" s="18"/>
      <c r="B29" s="19">
        <v>44307.708333333336</v>
      </c>
      <c r="C29" s="20">
        <v>44307.8125</v>
      </c>
      <c r="D29" s="24">
        <f>C29-B29</f>
        <v>0.1041666666666667</v>
      </c>
      <c r="E29" t="s" s="22">
        <v>32</v>
      </c>
      <c r="F29" t="s" s="22">
        <v>43</v>
      </c>
    </row>
    <row r="30" ht="20.05" customHeight="1">
      <c r="A30" s="18">
        <v>44307</v>
      </c>
      <c r="B30" s="19">
        <v>44307.416666666664</v>
      </c>
      <c r="C30" s="20">
        <v>44307.541666666664</v>
      </c>
      <c r="D30" s="21">
        <f>C30-B30</f>
        <v>0.125</v>
      </c>
      <c r="E30" t="s" s="22">
        <v>32</v>
      </c>
      <c r="F30" t="s" s="22">
        <v>44</v>
      </c>
    </row>
    <row r="31" ht="20.05" customHeight="1">
      <c r="A31" s="18"/>
      <c r="B31" s="19">
        <v>44307.625</v>
      </c>
      <c r="C31" s="20">
        <v>44307.739583333336</v>
      </c>
      <c r="D31" s="24">
        <f>C31-B31</f>
        <v>0.1145833333333333</v>
      </c>
      <c r="E31" t="s" s="22">
        <v>27</v>
      </c>
      <c r="F31" t="s" s="22">
        <v>45</v>
      </c>
    </row>
    <row r="32" ht="32.05" customHeight="1">
      <c r="A32" s="18"/>
      <c r="B32" s="19">
        <v>44307.875</v>
      </c>
      <c r="C32" s="20">
        <v>44307.958333333336</v>
      </c>
      <c r="D32" s="21">
        <f>C32-B32</f>
        <v>0.08333333333333333</v>
      </c>
      <c r="E32" t="s" s="22">
        <v>46</v>
      </c>
      <c r="F32" t="s" s="22">
        <v>47</v>
      </c>
    </row>
    <row r="33" ht="20.05" customHeight="1">
      <c r="A33" s="18">
        <v>44308</v>
      </c>
      <c r="B33" s="19">
        <v>44308.375</v>
      </c>
      <c r="C33" s="20">
        <v>44308.458333333336</v>
      </c>
      <c r="D33" s="21">
        <f>C33-B33</f>
        <v>0.08333333333333333</v>
      </c>
      <c r="E33" t="s" s="22">
        <v>27</v>
      </c>
      <c r="F33" t="s" s="22">
        <v>48</v>
      </c>
    </row>
    <row r="34" ht="20.05" customHeight="1">
      <c r="A34" s="18">
        <v>44309</v>
      </c>
      <c r="B34" s="19">
        <v>44309.375</v>
      </c>
      <c r="C34" s="20">
        <v>44309.479166666664</v>
      </c>
      <c r="D34" s="24">
        <f>C34-B34</f>
        <v>0.1041666666666667</v>
      </c>
      <c r="E34" t="s" s="22">
        <v>49</v>
      </c>
      <c r="F34" t="s" s="22">
        <v>50</v>
      </c>
    </row>
    <row r="35" ht="20.05" customHeight="1">
      <c r="A35" s="18"/>
      <c r="B35" s="19">
        <v>44309.5</v>
      </c>
      <c r="C35" s="20">
        <v>44309.597222222219</v>
      </c>
      <c r="D35" s="24">
        <f>C35-B35</f>
        <v>0.09722222222222222</v>
      </c>
      <c r="E35" t="s" s="22">
        <v>49</v>
      </c>
      <c r="F35" t="s" s="22">
        <v>51</v>
      </c>
    </row>
    <row r="36" ht="20.05" customHeight="1">
      <c r="A36" s="18"/>
      <c r="B36" s="19">
        <v>44309.635416666664</v>
      </c>
      <c r="C36" s="20">
        <v>44309.701388888891</v>
      </c>
      <c r="D36" s="24">
        <f>C36-B36</f>
        <v>0.06597222222222222</v>
      </c>
      <c r="E36" t="s" s="22">
        <v>7</v>
      </c>
      <c r="F36" s="22"/>
    </row>
    <row r="37" ht="20.05" customHeight="1">
      <c r="A37" s="18">
        <v>44310</v>
      </c>
      <c r="B37" s="19">
        <v>44311.666666666664</v>
      </c>
      <c r="C37" s="20">
        <v>44311.708333333336</v>
      </c>
      <c r="D37" s="21">
        <f>C37-B37</f>
        <v>0.04166666666666666</v>
      </c>
      <c r="E37" t="s" s="22">
        <v>49</v>
      </c>
      <c r="F37" t="s" s="22">
        <v>52</v>
      </c>
    </row>
    <row r="38" ht="20.35" customHeight="1">
      <c r="A38" s="26">
        <v>44311</v>
      </c>
      <c r="B38" s="27">
        <v>44311.666666666664</v>
      </c>
      <c r="C38" s="28">
        <v>44311.833333333336</v>
      </c>
      <c r="D38" s="29">
        <f>C38-B38</f>
        <v>0.1666666666666667</v>
      </c>
      <c r="E38" t="s" s="30">
        <v>53</v>
      </c>
      <c r="F38" t="s" s="30">
        <v>54</v>
      </c>
    </row>
    <row r="39" ht="20.7" customHeight="1">
      <c r="A39" t="s" s="9">
        <v>55</v>
      </c>
      <c r="B39" s="10"/>
      <c r="C39" s="11"/>
      <c r="D39" s="31">
        <v>1.475694444444444</v>
      </c>
      <c r="E39" s="11"/>
      <c r="F39" s="11"/>
    </row>
    <row r="40" ht="20.35" customHeight="1">
      <c r="A40" s="13">
        <v>44312</v>
      </c>
      <c r="B40" s="14">
        <v>44312.333333333336</v>
      </c>
      <c r="C40" s="15">
        <v>44312.416666666664</v>
      </c>
      <c r="D40" s="32">
        <f>C40-B40</f>
        <v>0.08333333333333333</v>
      </c>
      <c r="E40" t="s" s="17">
        <v>27</v>
      </c>
      <c r="F40" t="s" s="17">
        <v>56</v>
      </c>
    </row>
    <row r="41" ht="20.05" customHeight="1">
      <c r="A41" s="18"/>
      <c r="B41" s="19">
        <v>44312.583333333336</v>
      </c>
      <c r="C41" s="20">
        <v>44312.659722222219</v>
      </c>
      <c r="D41" s="24">
        <f>C41-B41</f>
        <v>0.0763888888888889</v>
      </c>
      <c r="E41" t="s" s="22">
        <v>35</v>
      </c>
      <c r="F41" t="s" s="22">
        <v>57</v>
      </c>
    </row>
    <row r="42" ht="20.05" customHeight="1">
      <c r="A42" s="18">
        <v>44313</v>
      </c>
      <c r="B42" s="19">
        <v>44313.395833333336</v>
      </c>
      <c r="C42" s="20">
        <v>44313.416666666664</v>
      </c>
      <c r="D42" s="25">
        <f>C42-B42</f>
        <v>0.02083333333333333</v>
      </c>
      <c r="E42" t="s" s="22">
        <v>58</v>
      </c>
      <c r="F42" s="22"/>
    </row>
    <row r="43" ht="20.05" customHeight="1">
      <c r="A43" s="18"/>
      <c r="B43" s="19">
        <v>44313.513888888891</v>
      </c>
      <c r="C43" s="20">
        <v>44313.739583333336</v>
      </c>
      <c r="D43" s="24">
        <f>C43-B43</f>
        <v>0.2256944444444444</v>
      </c>
      <c r="E43" t="s" s="22">
        <v>59</v>
      </c>
      <c r="F43" t="s" s="22">
        <v>60</v>
      </c>
    </row>
    <row r="44" ht="32.05" customHeight="1">
      <c r="A44" s="18">
        <v>44314</v>
      </c>
      <c r="B44" s="19">
        <v>44314.416666666664</v>
      </c>
      <c r="C44" s="20">
        <v>44314.541666666664</v>
      </c>
      <c r="D44" s="21">
        <f>C44-B44</f>
        <v>0.125</v>
      </c>
      <c r="E44" t="s" s="22">
        <v>61</v>
      </c>
      <c r="F44" t="s" s="22">
        <v>62</v>
      </c>
    </row>
    <row r="45" ht="20.05" customHeight="1">
      <c r="A45" s="18"/>
      <c r="B45" s="19">
        <v>44314.638888888891</v>
      </c>
      <c r="C45" s="20">
        <v>44314.680555555555</v>
      </c>
      <c r="D45" s="21">
        <f>C45-B45</f>
        <v>0.04166666666666666</v>
      </c>
      <c r="E45" t="s" s="22">
        <v>61</v>
      </c>
      <c r="F45" t="s" s="22">
        <v>63</v>
      </c>
    </row>
    <row r="46" ht="20.05" customHeight="1">
      <c r="A46" s="18"/>
      <c r="B46" s="19">
        <v>44314.697916666664</v>
      </c>
      <c r="C46" s="20">
        <v>44314.888888888891</v>
      </c>
      <c r="D46" s="24">
        <f>C46-B46</f>
        <v>0.1909722222222222</v>
      </c>
      <c r="E46" t="s" s="22">
        <v>64</v>
      </c>
      <c r="F46" t="s" s="22">
        <v>65</v>
      </c>
    </row>
    <row r="47" ht="32.05" customHeight="1">
      <c r="A47" s="18">
        <v>44315</v>
      </c>
      <c r="B47" s="19">
        <v>44315.395833333336</v>
      </c>
      <c r="C47" s="20">
        <v>44315.541666666664</v>
      </c>
      <c r="D47" s="24">
        <f>C47-B47</f>
        <v>0.1458333333333333</v>
      </c>
      <c r="E47" t="s" s="22">
        <v>66</v>
      </c>
      <c r="F47" t="s" s="22">
        <v>67</v>
      </c>
    </row>
    <row r="48" ht="20.05" customHeight="1">
      <c r="A48" s="18"/>
      <c r="B48" s="19">
        <v>44315.583333333336</v>
      </c>
      <c r="C48" s="20">
        <v>44315.680555555555</v>
      </c>
      <c r="D48" s="24">
        <f>C48-B48</f>
        <v>0.09722222222222222</v>
      </c>
      <c r="E48" t="s" s="22">
        <v>68</v>
      </c>
      <c r="F48" t="s" s="22">
        <v>69</v>
      </c>
    </row>
    <row r="49" ht="20.05" customHeight="1">
      <c r="A49" s="18"/>
      <c r="B49" s="19">
        <v>44315.697916666664</v>
      </c>
      <c r="C49" s="20">
        <v>44315.78125</v>
      </c>
      <c r="D49" s="21">
        <f>C49-B49</f>
        <v>0.08333333333333333</v>
      </c>
      <c r="E49" t="s" s="22">
        <v>70</v>
      </c>
      <c r="F49" s="22"/>
    </row>
    <row r="50" ht="44.05" customHeight="1">
      <c r="A50" s="18"/>
      <c r="B50" s="19">
        <v>44315.78125</v>
      </c>
      <c r="C50" s="20">
        <v>44315.809027777781</v>
      </c>
      <c r="D50" s="25">
        <f>C50-B50</f>
        <v>0.02777777777777778</v>
      </c>
      <c r="E50" t="s" s="22">
        <v>35</v>
      </c>
      <c r="F50" t="s" s="22">
        <v>71</v>
      </c>
    </row>
    <row r="51" ht="20.05" customHeight="1">
      <c r="A51" s="18"/>
      <c r="B51" s="19">
        <v>44315.895833333336</v>
      </c>
      <c r="C51" s="20">
        <v>44315.96875</v>
      </c>
      <c r="D51" s="24">
        <f>C51-B51</f>
        <v>0.07291666666666667</v>
      </c>
      <c r="E51" t="s" s="22">
        <v>72</v>
      </c>
      <c r="F51" t="s" s="22">
        <v>73</v>
      </c>
    </row>
    <row r="52" ht="32.05" customHeight="1">
      <c r="A52" s="18">
        <v>44316</v>
      </c>
      <c r="B52" s="19">
        <v>44316.333333333336</v>
      </c>
      <c r="C52" s="20">
        <v>44316.701388888891</v>
      </c>
      <c r="D52" s="24">
        <f>C52-B52</f>
        <v>0.3680555555555556</v>
      </c>
      <c r="E52" t="s" s="22">
        <v>74</v>
      </c>
      <c r="F52" t="s" s="22">
        <v>75</v>
      </c>
    </row>
    <row r="53" ht="20.35" customHeight="1">
      <c r="A53" s="26"/>
      <c r="B53" s="27">
        <v>44316.71875</v>
      </c>
      <c r="C53" s="28">
        <v>44316.809027777781</v>
      </c>
      <c r="D53" s="33">
        <f>C53-B53</f>
        <v>0.09027777777777778</v>
      </c>
      <c r="E53" t="s" s="30">
        <v>7</v>
      </c>
      <c r="F53" s="30"/>
    </row>
    <row r="54" ht="20.7" customHeight="1">
      <c r="A54" t="s" s="9">
        <v>76</v>
      </c>
      <c r="B54" s="10"/>
      <c r="C54" s="11"/>
      <c r="D54" s="31">
        <v>1.649305555555556</v>
      </c>
      <c r="E54" s="11"/>
      <c r="F54" s="11"/>
    </row>
    <row r="55" ht="20.35" customHeight="1">
      <c r="A55" s="13">
        <v>44319</v>
      </c>
      <c r="B55" s="14">
        <v>44319.375</v>
      </c>
      <c r="C55" s="15">
        <v>44319.416666666664</v>
      </c>
      <c r="D55" s="32">
        <f>C55-B55</f>
        <v>0.04166666666666666</v>
      </c>
      <c r="E55" t="s" s="17">
        <v>77</v>
      </c>
      <c r="F55" t="s" s="17">
        <v>78</v>
      </c>
    </row>
    <row r="56" ht="32.05" customHeight="1">
      <c r="A56" s="18"/>
      <c r="B56" s="19">
        <v>44319.611111111109</v>
      </c>
      <c r="C56" s="20">
        <v>44319.791666666664</v>
      </c>
      <c r="D56" s="24">
        <f>C56-B56</f>
        <v>0.1805555555555556</v>
      </c>
      <c r="E56" t="s" s="22">
        <v>77</v>
      </c>
      <c r="F56" t="s" s="22">
        <v>79</v>
      </c>
    </row>
    <row r="57" ht="32.05" customHeight="1">
      <c r="A57" s="18">
        <v>44320</v>
      </c>
      <c r="B57" s="19">
        <v>44320.465277777781</v>
      </c>
      <c r="C57" s="20">
        <v>44320.604166666664</v>
      </c>
      <c r="D57" s="24">
        <f>C57-B57</f>
        <v>0.1388888888888889</v>
      </c>
      <c r="E57" t="s" s="22">
        <v>18</v>
      </c>
      <c r="F57" t="s" s="22">
        <v>80</v>
      </c>
    </row>
    <row r="58" ht="20.05" customHeight="1">
      <c r="A58" s="18"/>
      <c r="B58" s="19">
        <v>44320.770833333336</v>
      </c>
      <c r="C58" s="20">
        <v>44320.881944444445</v>
      </c>
      <c r="D58" s="24">
        <f>C58-B58</f>
        <v>0.1111111111111111</v>
      </c>
      <c r="E58" t="s" s="22">
        <v>18</v>
      </c>
      <c r="F58" t="s" s="22">
        <v>81</v>
      </c>
    </row>
    <row r="59" ht="32.05" customHeight="1">
      <c r="A59" s="18">
        <v>44321</v>
      </c>
      <c r="B59" s="19">
        <v>44321.392361111109</v>
      </c>
      <c r="C59" s="20">
        <v>44321.486111111109</v>
      </c>
      <c r="D59" s="24">
        <f>C59-B59</f>
        <v>0.09375</v>
      </c>
      <c r="E59" t="s" s="22">
        <v>18</v>
      </c>
      <c r="F59" t="s" s="22">
        <v>82</v>
      </c>
    </row>
    <row r="60" ht="20.05" customHeight="1">
      <c r="A60" s="18"/>
      <c r="B60" s="19">
        <v>44321.649305555555</v>
      </c>
      <c r="C60" s="20">
        <v>44321.739583333336</v>
      </c>
      <c r="D60" s="24">
        <f>C60-B60</f>
        <v>0.09027777777777778</v>
      </c>
      <c r="E60" t="s" s="22">
        <v>83</v>
      </c>
      <c r="F60" t="s" s="22">
        <v>84</v>
      </c>
    </row>
    <row r="61" ht="20.05" customHeight="1">
      <c r="A61" s="18"/>
      <c r="B61" s="19">
        <v>44321.756944444445</v>
      </c>
      <c r="C61" s="20">
        <v>44321.833333333336</v>
      </c>
      <c r="D61" s="24">
        <f>C61-B61</f>
        <v>0.0763888888888889</v>
      </c>
      <c r="E61" t="s" s="22">
        <v>83</v>
      </c>
      <c r="F61" t="s" s="22">
        <v>85</v>
      </c>
    </row>
    <row r="62" ht="20.05" customHeight="1">
      <c r="A62" s="18">
        <v>44322</v>
      </c>
      <c r="B62" s="19">
        <v>44323.375</v>
      </c>
      <c r="C62" s="20">
        <v>44323.583333333336</v>
      </c>
      <c r="D62" s="21">
        <f>C62-B62</f>
        <v>0.2083333333333333</v>
      </c>
      <c r="E62" t="s" s="22">
        <v>86</v>
      </c>
      <c r="F62" s="22"/>
    </row>
    <row r="63" ht="20.05" customHeight="1">
      <c r="A63" s="18">
        <v>44323</v>
      </c>
      <c r="B63" s="19">
        <v>44323.375</v>
      </c>
      <c r="C63" s="20">
        <v>44323.510416666664</v>
      </c>
      <c r="D63" s="24">
        <f>C63-B63</f>
        <v>0.1354166666666667</v>
      </c>
      <c r="E63" t="s" s="22">
        <v>83</v>
      </c>
      <c r="F63" t="s" s="22">
        <v>87</v>
      </c>
    </row>
    <row r="64" ht="20.05" customHeight="1">
      <c r="A64" s="18"/>
      <c r="B64" s="19">
        <v>44323.555555555555</v>
      </c>
      <c r="C64" s="20">
        <v>44323.625</v>
      </c>
      <c r="D64" s="24">
        <f>C64-B64</f>
        <v>0.06944444444444445</v>
      </c>
      <c r="E64" t="s" s="22">
        <v>18</v>
      </c>
      <c r="F64" t="s" s="22">
        <v>88</v>
      </c>
    </row>
    <row r="65" ht="20.35" customHeight="1">
      <c r="A65" s="26"/>
      <c r="B65" s="27">
        <v>44323.635416666664</v>
      </c>
      <c r="C65" s="28">
        <v>44323.6875</v>
      </c>
      <c r="D65" s="33">
        <f>C65-B65</f>
        <v>0.05208333333333334</v>
      </c>
      <c r="E65" t="s" s="30">
        <v>7</v>
      </c>
      <c r="F65" s="30"/>
    </row>
    <row r="66" ht="20.7" customHeight="1">
      <c r="A66" t="s" s="9">
        <v>89</v>
      </c>
      <c r="B66" s="10"/>
      <c r="C66" s="11"/>
      <c r="D66" s="31">
        <v>1.197916666666667</v>
      </c>
      <c r="E66" s="11"/>
      <c r="F66" s="11"/>
    </row>
    <row r="67" ht="20.35" customHeight="1">
      <c r="A67" s="13">
        <v>44326</v>
      </c>
      <c r="B67" s="14">
        <v>44326.53125</v>
      </c>
      <c r="C67" s="15">
        <v>44326.583333333336</v>
      </c>
      <c r="D67" s="16">
        <f>C67-B67</f>
        <v>0.05208333333333334</v>
      </c>
      <c r="E67" t="s" s="17">
        <v>83</v>
      </c>
      <c r="F67" t="s" s="17">
        <v>90</v>
      </c>
    </row>
    <row r="68" ht="32.05" customHeight="1">
      <c r="A68" s="18"/>
      <c r="B68" s="19">
        <v>44326.614583333336</v>
      </c>
      <c r="C68" s="20">
        <v>44326.819444444445</v>
      </c>
      <c r="D68" s="24">
        <f>C68-B68</f>
        <v>0.2048611111111111</v>
      </c>
      <c r="E68" t="s" s="22">
        <v>91</v>
      </c>
      <c r="F68" t="s" s="22">
        <v>92</v>
      </c>
    </row>
    <row r="69" ht="20.05" customHeight="1">
      <c r="A69" s="18">
        <v>44327</v>
      </c>
      <c r="B69" s="19">
        <v>44327.416666666664</v>
      </c>
      <c r="C69" s="20">
        <v>44327.576388888891</v>
      </c>
      <c r="D69" s="24">
        <f>C69-B69</f>
        <v>0.1597222222222222</v>
      </c>
      <c r="E69" t="s" s="22">
        <v>93</v>
      </c>
      <c r="F69" t="s" s="22">
        <v>94</v>
      </c>
    </row>
    <row r="70" ht="20.05" customHeight="1">
      <c r="A70" s="18"/>
      <c r="B70" s="19">
        <v>44327.590277777781</v>
      </c>
      <c r="C70" s="20">
        <v>44327.645833333336</v>
      </c>
      <c r="D70" s="24">
        <f>C70-B70</f>
        <v>0.05555555555555555</v>
      </c>
      <c r="E70" t="s" s="22">
        <v>93</v>
      </c>
      <c r="F70" t="s" s="22">
        <v>95</v>
      </c>
    </row>
    <row r="71" ht="44.05" customHeight="1">
      <c r="A71" s="18"/>
      <c r="B71" s="19">
        <v>44327.666666666664</v>
      </c>
      <c r="C71" s="20">
        <v>44327.694444444445</v>
      </c>
      <c r="D71" s="25">
        <f>C71-B71</f>
        <v>0.02777777777777778</v>
      </c>
      <c r="E71" t="s" s="22">
        <v>35</v>
      </c>
      <c r="F71" t="s" s="22">
        <v>96</v>
      </c>
    </row>
    <row r="72" ht="20.05" customHeight="1">
      <c r="A72" s="18"/>
      <c r="B72" s="19">
        <v>44327.71875</v>
      </c>
      <c r="C72" s="20">
        <v>44327.833333333336</v>
      </c>
      <c r="D72" s="24">
        <f>C72-B72</f>
        <v>0.1145833333333333</v>
      </c>
      <c r="E72" t="s" s="22">
        <v>97</v>
      </c>
      <c r="F72" t="s" s="22">
        <v>98</v>
      </c>
    </row>
    <row r="73" ht="20.05" customHeight="1">
      <c r="A73" s="18">
        <v>44328</v>
      </c>
      <c r="B73" s="19">
        <v>44328.416666666664</v>
      </c>
      <c r="C73" s="20">
        <v>44328.555555555555</v>
      </c>
      <c r="D73" s="24">
        <f>C73-B73</f>
        <v>0.1388888888888889</v>
      </c>
      <c r="E73" t="s" s="22">
        <v>99</v>
      </c>
      <c r="F73" t="s" s="22">
        <v>100</v>
      </c>
    </row>
    <row r="74" ht="20.05" customHeight="1">
      <c r="A74" s="18"/>
      <c r="B74" s="19">
        <v>44328.569444444445</v>
      </c>
      <c r="C74" s="20">
        <v>44328.722222222219</v>
      </c>
      <c r="D74" s="24">
        <f>C74-B74</f>
        <v>0.1527777777777778</v>
      </c>
      <c r="E74" t="s" s="22">
        <v>101</v>
      </c>
      <c r="F74" t="s" s="22">
        <v>102</v>
      </c>
    </row>
    <row r="75" ht="20.05" customHeight="1">
      <c r="A75" s="18"/>
      <c r="B75" s="19">
        <v>44328.75</v>
      </c>
      <c r="C75" s="20">
        <v>44328.833333333336</v>
      </c>
      <c r="D75" s="21">
        <f>C75-B75</f>
        <v>0.08333333333333333</v>
      </c>
      <c r="E75" t="s" s="22">
        <v>103</v>
      </c>
      <c r="F75" t="s" s="22">
        <v>104</v>
      </c>
    </row>
    <row r="76" ht="20.05" customHeight="1">
      <c r="A76" s="18">
        <v>44329</v>
      </c>
      <c r="B76" s="19">
        <v>44329.458333333336</v>
      </c>
      <c r="C76" s="20">
        <v>44329.486111111109</v>
      </c>
      <c r="D76" s="25">
        <f>C76-B76</f>
        <v>0.02777777777777778</v>
      </c>
      <c r="E76" t="s" s="22">
        <v>103</v>
      </c>
      <c r="F76" t="s" s="22">
        <v>105</v>
      </c>
    </row>
    <row r="77" ht="20.05" customHeight="1">
      <c r="A77" s="18"/>
      <c r="B77" s="19">
        <v>44329.541666666664</v>
      </c>
      <c r="C77" s="20">
        <v>44329.6875</v>
      </c>
      <c r="D77" s="24">
        <f>C77-B77</f>
        <v>0.1458333333333333</v>
      </c>
      <c r="E77" t="s" s="22">
        <v>106</v>
      </c>
      <c r="F77" t="s" s="22">
        <v>107</v>
      </c>
    </row>
    <row r="78" ht="20.05" customHeight="1">
      <c r="A78" s="18"/>
      <c r="B78" s="19">
        <v>44329.697916666664</v>
      </c>
      <c r="C78" s="20">
        <v>44329.770833333336</v>
      </c>
      <c r="D78" s="24">
        <f>C78-B78</f>
        <v>0.07291666666666667</v>
      </c>
      <c r="E78" t="s" s="22">
        <v>22</v>
      </c>
      <c r="F78" s="22"/>
    </row>
    <row r="79" ht="20.05" customHeight="1">
      <c r="A79" s="18"/>
      <c r="B79" s="19">
        <v>44329.819444444445</v>
      </c>
      <c r="C79" s="20">
        <v>44329.875</v>
      </c>
      <c r="D79" s="24">
        <f>C79-B79</f>
        <v>0.05555555555555555</v>
      </c>
      <c r="E79" t="s" s="22">
        <v>108</v>
      </c>
      <c r="F79" t="s" s="22">
        <v>109</v>
      </c>
    </row>
    <row r="80" ht="20.05" customHeight="1">
      <c r="A80" s="18">
        <v>44330</v>
      </c>
      <c r="B80" s="19">
        <v>44330.375</v>
      </c>
      <c r="C80" s="20">
        <v>44330.569444444445</v>
      </c>
      <c r="D80" s="24">
        <f>C80-B80</f>
        <v>0.1944444444444444</v>
      </c>
      <c r="E80" t="s" s="22">
        <v>110</v>
      </c>
      <c r="F80" t="s" s="22">
        <v>111</v>
      </c>
    </row>
    <row r="81" ht="20.05" customHeight="1">
      <c r="A81" s="18"/>
      <c r="B81" s="19">
        <v>44330.583333333336</v>
      </c>
      <c r="C81" s="20">
        <v>44330.614583333336</v>
      </c>
      <c r="D81" s="25">
        <f>C81-B81</f>
        <v>0.03125</v>
      </c>
      <c r="E81" t="s" s="22">
        <v>110</v>
      </c>
      <c r="F81" t="s" s="22">
        <v>112</v>
      </c>
    </row>
    <row r="82" ht="20.35" customHeight="1">
      <c r="A82" s="26"/>
      <c r="B82" s="27">
        <v>44330.635416666664</v>
      </c>
      <c r="C82" s="28">
        <v>44330.677083333336</v>
      </c>
      <c r="D82" s="29">
        <f>C82-B82</f>
        <v>0.04166666666666666</v>
      </c>
      <c r="E82" t="s" s="30">
        <v>7</v>
      </c>
      <c r="F82" s="30"/>
    </row>
    <row r="83" ht="20.7" customHeight="1">
      <c r="A83" t="s" s="9">
        <v>113</v>
      </c>
      <c r="B83" s="10"/>
      <c r="C83" s="11"/>
      <c r="D83" s="31">
        <v>1.559027777777778</v>
      </c>
      <c r="E83" s="11"/>
      <c r="F83" s="11"/>
    </row>
    <row r="84" ht="32.35" customHeight="1">
      <c r="A84" s="13">
        <v>44333</v>
      </c>
      <c r="B84" s="14">
        <v>44333.5</v>
      </c>
      <c r="C84" s="15">
        <v>44333.729166666664</v>
      </c>
      <c r="D84" s="16">
        <f>C84-B84</f>
        <v>0.2291666666666667</v>
      </c>
      <c r="E84" t="s" s="17">
        <v>114</v>
      </c>
      <c r="F84" t="s" s="17">
        <v>115</v>
      </c>
    </row>
    <row r="85" ht="20.05" customHeight="1">
      <c r="A85" s="18">
        <v>44334</v>
      </c>
      <c r="B85" s="19">
        <v>44334.333333333336</v>
      </c>
      <c r="C85" s="20">
        <v>44334.409722222219</v>
      </c>
      <c r="D85" s="24">
        <f>C85-B85</f>
        <v>0.0763888888888889</v>
      </c>
      <c r="E85" t="s" s="22">
        <v>114</v>
      </c>
      <c r="F85" t="s" s="22">
        <v>116</v>
      </c>
    </row>
    <row r="86" ht="20.05" customHeight="1">
      <c r="A86" s="18"/>
      <c r="B86" s="19">
        <v>44334.416666666664</v>
      </c>
      <c r="C86" s="20">
        <v>44334.458333333336</v>
      </c>
      <c r="D86" s="21">
        <f>C86-B86</f>
        <v>0.04166666666666666</v>
      </c>
      <c r="E86" t="s" s="22">
        <v>117</v>
      </c>
      <c r="F86" t="s" s="22">
        <v>118</v>
      </c>
    </row>
    <row r="87" ht="20.05" customHeight="1">
      <c r="A87" s="18"/>
      <c r="B87" s="19">
        <v>44334.614583333336</v>
      </c>
      <c r="C87" s="20">
        <v>44334.65625</v>
      </c>
      <c r="D87" s="21">
        <f>C87-B87</f>
        <v>0.04166666666666666</v>
      </c>
      <c r="E87" t="s" s="22">
        <v>119</v>
      </c>
      <c r="F87" t="s" s="22">
        <v>120</v>
      </c>
    </row>
    <row r="88" ht="20.05" customHeight="1">
      <c r="A88" s="18">
        <v>44335</v>
      </c>
      <c r="B88" s="19">
        <v>44335.4375</v>
      </c>
      <c r="C88" s="20">
        <v>44335.541666666664</v>
      </c>
      <c r="D88" s="24">
        <f>C88-B88</f>
        <v>0.1041666666666667</v>
      </c>
      <c r="E88" t="s" s="22">
        <v>121</v>
      </c>
      <c r="F88" t="s" s="22">
        <v>122</v>
      </c>
    </row>
    <row r="89" ht="32.05" customHeight="1">
      <c r="A89" s="18"/>
      <c r="B89" s="19">
        <v>44335.597222222219</v>
      </c>
      <c r="C89" s="20">
        <v>44335.6875</v>
      </c>
      <c r="D89" s="24">
        <f>C89-B89</f>
        <v>0.09027777777777778</v>
      </c>
      <c r="E89" t="s" s="22">
        <v>123</v>
      </c>
      <c r="F89" t="s" s="22">
        <v>124</v>
      </c>
    </row>
    <row r="90" ht="20.05" customHeight="1">
      <c r="A90" s="18"/>
      <c r="B90" s="19">
        <v>44335.760416666664</v>
      </c>
      <c r="C90" s="20">
        <v>44335.854166666664</v>
      </c>
      <c r="D90" s="24">
        <f>C90-B90</f>
        <v>0.09375</v>
      </c>
      <c r="E90" t="s" s="22">
        <v>125</v>
      </c>
      <c r="F90" t="s" s="22">
        <v>126</v>
      </c>
    </row>
    <row r="91" ht="32.05" customHeight="1">
      <c r="A91" s="18">
        <v>44336</v>
      </c>
      <c r="B91" s="19">
        <v>44336.354166666664</v>
      </c>
      <c r="C91" s="20">
        <v>44336.4375</v>
      </c>
      <c r="D91" s="21">
        <f>C91-B91</f>
        <v>0.08333333333333333</v>
      </c>
      <c r="E91" t="s" s="22">
        <v>125</v>
      </c>
      <c r="F91" t="s" s="22">
        <v>127</v>
      </c>
    </row>
    <row r="92" ht="20.05" customHeight="1">
      <c r="A92" s="18"/>
      <c r="B92" s="19">
        <v>44336.5</v>
      </c>
      <c r="C92" s="20">
        <v>44336.541666666664</v>
      </c>
      <c r="D92" s="21">
        <f>C92-B92</f>
        <v>0.04166666666666666</v>
      </c>
      <c r="E92" t="s" s="22">
        <v>125</v>
      </c>
      <c r="F92" t="s" s="22">
        <v>128</v>
      </c>
    </row>
    <row r="93" ht="32.05" customHeight="1">
      <c r="A93" s="18"/>
      <c r="B93" s="19">
        <v>44336.597222222219</v>
      </c>
      <c r="C93" s="20">
        <v>44336.729166666664</v>
      </c>
      <c r="D93" s="24">
        <f>C93-B93</f>
        <v>0.1319444444444444</v>
      </c>
      <c r="E93" t="s" s="22">
        <v>18</v>
      </c>
      <c r="F93" t="s" s="22">
        <v>129</v>
      </c>
    </row>
    <row r="94" ht="32.05" customHeight="1">
      <c r="A94" s="18">
        <v>44337</v>
      </c>
      <c r="B94" s="19">
        <v>44337.354166666664</v>
      </c>
      <c r="C94" s="20">
        <v>44337.40625</v>
      </c>
      <c r="D94" s="24">
        <f>C94-B94</f>
        <v>0.05208333333333334</v>
      </c>
      <c r="E94" t="s" s="22">
        <v>130</v>
      </c>
      <c r="F94" t="s" s="22">
        <v>131</v>
      </c>
    </row>
    <row r="95" ht="20.05" customHeight="1">
      <c r="A95" s="18"/>
      <c r="B95" s="19">
        <v>44337.430555555555</v>
      </c>
      <c r="C95" s="20">
        <v>44337.534722222219</v>
      </c>
      <c r="D95" s="24">
        <f>C95-B95</f>
        <v>0.1041666666666667</v>
      </c>
      <c r="E95" t="s" s="22">
        <v>18</v>
      </c>
      <c r="F95" t="s" s="22">
        <v>132</v>
      </c>
    </row>
    <row r="96" ht="20.05" customHeight="1">
      <c r="A96" s="18"/>
      <c r="B96" s="19">
        <v>44337.5625</v>
      </c>
      <c r="C96" s="20">
        <v>44337.614583333336</v>
      </c>
      <c r="D96" s="24">
        <f>C96-B96</f>
        <v>0.05208333333333334</v>
      </c>
      <c r="E96" t="s" s="22">
        <v>18</v>
      </c>
      <c r="F96" t="s" s="22">
        <v>133</v>
      </c>
    </row>
    <row r="97" ht="20.35" customHeight="1">
      <c r="A97" s="26"/>
      <c r="B97" s="27">
        <v>44337.635416666664</v>
      </c>
      <c r="C97" s="28">
        <v>44337.680555555555</v>
      </c>
      <c r="D97" s="33">
        <f>C97-B97</f>
        <v>0.04513888888888889</v>
      </c>
      <c r="E97" t="s" s="30">
        <v>7</v>
      </c>
      <c r="F97" s="30"/>
    </row>
    <row r="98" ht="20.7" customHeight="1">
      <c r="A98" t="s" s="9">
        <v>134</v>
      </c>
      <c r="B98" s="10"/>
      <c r="C98" s="11"/>
      <c r="D98" s="31">
        <v>1.1875</v>
      </c>
      <c r="E98" s="11"/>
      <c r="F98" s="11"/>
    </row>
    <row r="99" ht="44.35" customHeight="1">
      <c r="A99" s="13">
        <v>44340</v>
      </c>
      <c r="B99" s="14">
        <v>44340.583333333336</v>
      </c>
      <c r="C99" s="15">
        <v>44340.645833333336</v>
      </c>
      <c r="D99" s="16">
        <f>C99-B99</f>
        <v>0.0625</v>
      </c>
      <c r="E99" t="s" s="17">
        <v>83</v>
      </c>
      <c r="F99" t="s" s="17">
        <v>135</v>
      </c>
    </row>
    <row r="100" ht="44.05" customHeight="1">
      <c r="A100" s="18"/>
      <c r="B100" s="19">
        <v>44340.652777777781</v>
      </c>
      <c r="C100" s="20">
        <v>44340.784722222219</v>
      </c>
      <c r="D100" s="24">
        <f>C100-B100</f>
        <v>0.1319444444444444</v>
      </c>
      <c r="E100" t="s" s="22">
        <v>136</v>
      </c>
      <c r="F100" t="s" s="22">
        <v>137</v>
      </c>
    </row>
    <row r="101" ht="20.05" customHeight="1">
      <c r="A101" s="18"/>
      <c r="B101" s="19">
        <v>44340.802083333336</v>
      </c>
      <c r="C101" s="20">
        <v>44340.868055555555</v>
      </c>
      <c r="D101" s="24">
        <f>C101-B101</f>
        <v>0.06597222222222222</v>
      </c>
      <c r="E101" t="s" s="22">
        <v>138</v>
      </c>
      <c r="F101" t="s" s="22">
        <v>139</v>
      </c>
    </row>
    <row r="102" ht="32.05" customHeight="1">
      <c r="A102" s="18">
        <v>44341</v>
      </c>
      <c r="B102" s="19">
        <v>44341.465277777781</v>
      </c>
      <c r="C102" s="20">
        <v>44341.548611111109</v>
      </c>
      <c r="D102" s="21">
        <f>C102-B102</f>
        <v>0.08333333333333333</v>
      </c>
      <c r="E102" t="s" s="22">
        <v>140</v>
      </c>
      <c r="F102" t="s" s="22">
        <v>141</v>
      </c>
    </row>
    <row r="103" ht="20.05" customHeight="1">
      <c r="A103" s="18"/>
      <c r="B103" s="19">
        <v>44341.576388888891</v>
      </c>
      <c r="C103" s="20">
        <v>44341.638888888891</v>
      </c>
      <c r="D103" s="24">
        <f>C103-B103</f>
        <v>0.0625</v>
      </c>
      <c r="E103" t="s" s="22">
        <v>142</v>
      </c>
      <c r="F103" t="s" s="22">
        <v>143</v>
      </c>
    </row>
    <row r="104" ht="32.05" customHeight="1">
      <c r="A104" s="18"/>
      <c r="B104" s="19">
        <v>44341.791666666664</v>
      </c>
      <c r="C104" s="20">
        <v>44341.902777777781</v>
      </c>
      <c r="D104" s="24">
        <f>C104-B104</f>
        <v>0.1111111111111111</v>
      </c>
      <c r="E104" t="s" s="22">
        <v>144</v>
      </c>
      <c r="F104" t="s" s="22">
        <v>145</v>
      </c>
    </row>
    <row r="105" ht="20.05" customHeight="1">
      <c r="A105" s="18">
        <v>44342</v>
      </c>
      <c r="B105" s="19">
        <v>44342.4375</v>
      </c>
      <c r="C105" s="20">
        <v>44342.555555555555</v>
      </c>
      <c r="D105" s="24">
        <f>C105-B105</f>
        <v>0.1180555555555556</v>
      </c>
      <c r="E105" t="s" s="22">
        <v>18</v>
      </c>
      <c r="F105" t="s" s="22">
        <v>146</v>
      </c>
    </row>
    <row r="106" ht="32.05" customHeight="1">
      <c r="A106" s="18"/>
      <c r="B106" s="19">
        <v>44342.6875</v>
      </c>
      <c r="C106" s="20">
        <v>44342.875</v>
      </c>
      <c r="D106" s="24">
        <f>C106-B106</f>
        <v>0.1875</v>
      </c>
      <c r="E106" t="s" s="22">
        <v>93</v>
      </c>
      <c r="F106" t="s" s="22">
        <v>147</v>
      </c>
    </row>
    <row r="107" ht="20.05" customHeight="1">
      <c r="A107" s="18">
        <v>44343</v>
      </c>
      <c r="B107" s="19">
        <v>44343.395833333336</v>
      </c>
      <c r="C107" s="20">
        <v>44343.479166666664</v>
      </c>
      <c r="D107" s="21">
        <f>C107-B107</f>
        <v>0.08333333333333333</v>
      </c>
      <c r="E107" t="s" s="22">
        <v>93</v>
      </c>
      <c r="F107" t="s" s="22">
        <v>148</v>
      </c>
    </row>
    <row r="108" ht="20.05" customHeight="1">
      <c r="A108" s="18"/>
      <c r="B108" s="19">
        <v>44343.506944444445</v>
      </c>
      <c r="C108" s="20">
        <v>44343.604166666664</v>
      </c>
      <c r="D108" s="24">
        <f>C108-B108</f>
        <v>0.09722222222222222</v>
      </c>
      <c r="E108" t="s" s="22">
        <v>93</v>
      </c>
      <c r="F108" t="s" s="22">
        <v>149</v>
      </c>
    </row>
    <row r="109" ht="20.05" customHeight="1">
      <c r="A109" s="18"/>
      <c r="B109" s="19">
        <v>44343.680555555555</v>
      </c>
      <c r="C109" s="20">
        <v>44343.8125</v>
      </c>
      <c r="D109" s="24">
        <f>C109-B109</f>
        <v>0.1319444444444444</v>
      </c>
      <c r="E109" t="s" s="22">
        <v>93</v>
      </c>
      <c r="F109" t="s" s="22">
        <v>150</v>
      </c>
    </row>
    <row r="110" ht="20.05" customHeight="1">
      <c r="A110" s="18">
        <v>44344</v>
      </c>
      <c r="B110" s="19">
        <v>44344.395833333336</v>
      </c>
      <c r="C110" s="20">
        <v>44344.520833333336</v>
      </c>
      <c r="D110" s="21">
        <f>C110-B110</f>
        <v>0.125</v>
      </c>
      <c r="E110" t="s" s="22">
        <v>93</v>
      </c>
      <c r="F110" t="s" s="22">
        <v>151</v>
      </c>
    </row>
    <row r="111" ht="20.05" customHeight="1">
      <c r="A111" s="18"/>
      <c r="B111" s="19">
        <v>44344.5625</v>
      </c>
      <c r="C111" s="20">
        <v>44344.611111111109</v>
      </c>
      <c r="D111" s="24">
        <f>C111-B111</f>
        <v>0.04861111111111111</v>
      </c>
      <c r="E111" t="s" s="22">
        <v>93</v>
      </c>
      <c r="F111" t="s" s="22">
        <v>152</v>
      </c>
    </row>
    <row r="112" ht="20.05" customHeight="1">
      <c r="A112" s="18"/>
      <c r="B112" s="19">
        <v>44344.635416666664</v>
      </c>
      <c r="C112" s="20">
        <v>44344.690972222219</v>
      </c>
      <c r="D112" s="24">
        <f>C112-B112</f>
        <v>0.05555555555555555</v>
      </c>
      <c r="E112" t="s" s="22">
        <v>7</v>
      </c>
      <c r="F112" s="22"/>
    </row>
    <row r="113" ht="32.35" customHeight="1">
      <c r="A113" s="26">
        <v>44346</v>
      </c>
      <c r="B113" s="27">
        <v>44346.739583333336</v>
      </c>
      <c r="C113" s="28">
        <v>44346.791666666664</v>
      </c>
      <c r="D113" s="33">
        <f>C113-B113</f>
        <v>0.05208333333333334</v>
      </c>
      <c r="E113" t="s" s="30">
        <v>153</v>
      </c>
      <c r="F113" t="s" s="30">
        <v>154</v>
      </c>
    </row>
    <row r="114" ht="20.7" customHeight="1">
      <c r="A114" t="s" s="9">
        <v>155</v>
      </c>
      <c r="B114" s="10"/>
      <c r="C114" s="11"/>
      <c r="D114" s="31">
        <v>1.416666666666667</v>
      </c>
      <c r="E114" s="11"/>
      <c r="F114" s="11"/>
    </row>
    <row r="115" ht="32.35" customHeight="1">
      <c r="A115" s="13">
        <v>44347</v>
      </c>
      <c r="B115" s="14">
        <v>44347.555555555555</v>
      </c>
      <c r="C115" s="15">
        <v>44347.666666666664</v>
      </c>
      <c r="D115" s="16">
        <f>C115-B115</f>
        <v>0.1111111111111111</v>
      </c>
      <c r="E115" t="s" s="17">
        <v>83</v>
      </c>
      <c r="F115" t="s" s="17">
        <v>156</v>
      </c>
    </row>
    <row r="116" ht="32.05" customHeight="1">
      <c r="A116" s="18"/>
      <c r="B116" s="19">
        <v>44347.75</v>
      </c>
      <c r="C116" s="20">
        <v>44347.8125</v>
      </c>
      <c r="D116" s="24">
        <f>C116-B116</f>
        <v>0.0625</v>
      </c>
      <c r="E116" t="s" s="22">
        <v>83</v>
      </c>
      <c r="F116" t="s" s="22">
        <v>157</v>
      </c>
    </row>
    <row r="117" ht="32.05" customHeight="1">
      <c r="A117" s="18">
        <v>44348</v>
      </c>
      <c r="B117" s="19">
        <v>44348.395833333336</v>
      </c>
      <c r="C117" s="20">
        <v>44348.479166666664</v>
      </c>
      <c r="D117" s="21">
        <f>C117-B117</f>
        <v>0.08333333333333333</v>
      </c>
      <c r="E117" t="s" s="22">
        <v>91</v>
      </c>
      <c r="F117" t="s" s="22">
        <v>158</v>
      </c>
    </row>
    <row r="118" ht="20.05" customHeight="1">
      <c r="A118" s="18"/>
      <c r="B118" s="19">
        <v>44348.645833333336</v>
      </c>
      <c r="C118" s="20">
        <v>44348.697916666664</v>
      </c>
      <c r="D118" s="24">
        <f>C118-B118</f>
        <v>0.05208333333333334</v>
      </c>
      <c r="E118" t="s" s="22">
        <v>83</v>
      </c>
      <c r="F118" t="s" s="22">
        <v>159</v>
      </c>
    </row>
    <row r="119" ht="32.05" customHeight="1">
      <c r="A119" s="18"/>
      <c r="B119" s="19">
        <v>44348.75</v>
      </c>
      <c r="C119" s="20">
        <v>44348.895833333336</v>
      </c>
      <c r="D119" s="24">
        <f>C119-B119</f>
        <v>0.1458333333333333</v>
      </c>
      <c r="E119" t="s" s="22">
        <v>160</v>
      </c>
      <c r="F119" t="s" s="22">
        <v>161</v>
      </c>
    </row>
    <row r="120" ht="32.05" customHeight="1">
      <c r="A120" s="18">
        <v>44349</v>
      </c>
      <c r="B120" s="19">
        <v>44349.395833333336</v>
      </c>
      <c r="C120" s="20">
        <v>44349.645833333336</v>
      </c>
      <c r="D120" s="21">
        <f>C120-B120</f>
        <v>0.25</v>
      </c>
      <c r="E120" t="s" s="22">
        <v>160</v>
      </c>
      <c r="F120" t="s" s="22">
        <v>162</v>
      </c>
    </row>
    <row r="121" ht="32.05" customHeight="1">
      <c r="A121" s="18">
        <v>44350</v>
      </c>
      <c r="B121" s="19">
        <v>44350.416666666664</v>
      </c>
      <c r="C121" s="20">
        <v>44350.576388888891</v>
      </c>
      <c r="D121" s="24">
        <f>C121-B121</f>
        <v>0.1597222222222222</v>
      </c>
      <c r="E121" t="s" s="22">
        <v>160</v>
      </c>
      <c r="F121" t="s" s="22">
        <v>163</v>
      </c>
    </row>
    <row r="122" ht="20.05" customHeight="1">
      <c r="A122" s="18"/>
      <c r="B122" s="19">
        <v>44350.645833333336</v>
      </c>
      <c r="C122" s="20">
        <v>44350.791666666664</v>
      </c>
      <c r="D122" s="24">
        <f>C122-B122</f>
        <v>0.1458333333333333</v>
      </c>
      <c r="E122" t="s" s="22">
        <v>164</v>
      </c>
      <c r="F122" s="22"/>
    </row>
    <row r="123" ht="20.05" customHeight="1">
      <c r="A123" s="18">
        <v>44351</v>
      </c>
      <c r="B123" s="19">
        <v>44351.354166666664</v>
      </c>
      <c r="C123" s="20">
        <v>44351.40625</v>
      </c>
      <c r="D123" s="24">
        <f>C123-B123</f>
        <v>0.05208333333333334</v>
      </c>
      <c r="E123" t="s" s="22">
        <v>165</v>
      </c>
      <c r="F123" s="22"/>
    </row>
    <row r="124" ht="32.05" customHeight="1">
      <c r="A124" s="18"/>
      <c r="B124" s="19">
        <v>44351.416666666664</v>
      </c>
      <c r="C124" s="20">
        <v>44351.604166666664</v>
      </c>
      <c r="D124" s="24">
        <f>C124-B124</f>
        <v>0.1875</v>
      </c>
      <c r="E124" t="s" s="22">
        <v>93</v>
      </c>
      <c r="F124" t="s" s="22">
        <v>166</v>
      </c>
    </row>
    <row r="125" ht="20.35" customHeight="1">
      <c r="A125" s="26"/>
      <c r="B125" s="27">
        <v>44351.635416666664</v>
      </c>
      <c r="C125" s="28">
        <v>44351.708333333336</v>
      </c>
      <c r="D125" s="33">
        <f>C125-B125</f>
        <v>0.07291666666666667</v>
      </c>
      <c r="E125" t="s" s="30">
        <v>7</v>
      </c>
      <c r="F125" s="30"/>
    </row>
    <row r="126" ht="20.7" customHeight="1">
      <c r="A126" t="s" s="9">
        <v>167</v>
      </c>
      <c r="B126" s="10"/>
      <c r="C126" s="11"/>
      <c r="D126" s="31">
        <v>1.322916666666667</v>
      </c>
      <c r="E126" s="11"/>
      <c r="F126" s="11"/>
    </row>
    <row r="127" ht="32.35" customHeight="1">
      <c r="A127" s="13">
        <v>44354</v>
      </c>
      <c r="B127" s="14">
        <v>44355.520833333336</v>
      </c>
      <c r="C127" s="15">
        <v>44355.666666666664</v>
      </c>
      <c r="D127" s="16">
        <f>C127-B127</f>
        <v>0.1458333333333333</v>
      </c>
      <c r="E127" t="s" s="17">
        <v>168</v>
      </c>
      <c r="F127" t="s" s="17">
        <v>169</v>
      </c>
    </row>
    <row r="128" ht="32.05" customHeight="1">
      <c r="A128" s="18">
        <v>44355</v>
      </c>
      <c r="B128" s="19">
        <v>44355.34375</v>
      </c>
      <c r="C128" s="20">
        <v>44355.479166666664</v>
      </c>
      <c r="D128" s="24">
        <f>C128-B128</f>
        <v>0.1354166666666667</v>
      </c>
      <c r="E128" t="s" s="22">
        <v>170</v>
      </c>
      <c r="F128" t="s" s="22">
        <v>171</v>
      </c>
    </row>
    <row r="129" ht="20.05" customHeight="1">
      <c r="A129" s="18"/>
      <c r="B129" s="19">
        <v>44355.5</v>
      </c>
      <c r="C129" s="20">
        <v>44355.572916666664</v>
      </c>
      <c r="D129" s="24">
        <f>C129-B129</f>
        <v>0.07291666666666667</v>
      </c>
      <c r="E129" t="s" s="22">
        <v>172</v>
      </c>
      <c r="F129" t="s" s="22">
        <v>173</v>
      </c>
    </row>
    <row r="130" ht="56.05" customHeight="1">
      <c r="A130" s="18">
        <v>44356</v>
      </c>
      <c r="B130" s="19">
        <v>44356.333333333336</v>
      </c>
      <c r="C130" s="20">
        <v>44356.489583333336</v>
      </c>
      <c r="D130" s="24">
        <f>C130-B130</f>
        <v>0.15625</v>
      </c>
      <c r="E130" t="s" s="22">
        <v>174</v>
      </c>
      <c r="F130" t="s" s="22">
        <v>175</v>
      </c>
    </row>
    <row r="131" ht="32.05" customHeight="1">
      <c r="A131" s="18"/>
      <c r="B131" s="19">
        <v>44356.625</v>
      </c>
      <c r="C131" s="20">
        <v>44356.708333333336</v>
      </c>
      <c r="D131" s="21">
        <f>C131-B131</f>
        <v>0.08333333333333333</v>
      </c>
      <c r="E131" t="s" s="22">
        <v>153</v>
      </c>
      <c r="F131" t="s" s="22">
        <v>176</v>
      </c>
    </row>
    <row r="132" ht="20.05" customHeight="1">
      <c r="A132" s="18">
        <v>44357</v>
      </c>
      <c r="B132" s="19">
        <v>44357.333333333336</v>
      </c>
      <c r="C132" s="20">
        <v>44357.572916666664</v>
      </c>
      <c r="D132" s="24">
        <f>C132-B132</f>
        <v>0.2395833333333333</v>
      </c>
      <c r="E132" t="s" s="22">
        <v>172</v>
      </c>
      <c r="F132" t="s" s="22">
        <v>177</v>
      </c>
    </row>
    <row r="133" ht="32.05" customHeight="1">
      <c r="A133" s="18"/>
      <c r="B133" s="19">
        <v>44357.583333333336</v>
      </c>
      <c r="C133" s="20">
        <v>44357.708333333336</v>
      </c>
      <c r="D133" s="21">
        <f>C133-B133</f>
        <v>0.125</v>
      </c>
      <c r="E133" t="s" s="22">
        <v>172</v>
      </c>
      <c r="F133" t="s" s="22">
        <v>178</v>
      </c>
    </row>
    <row r="134" ht="20.05" customHeight="1">
      <c r="A134" s="18">
        <v>44358</v>
      </c>
      <c r="B134" s="19">
        <v>44358.354166666664</v>
      </c>
      <c r="C134" s="20">
        <v>44358.385416666664</v>
      </c>
      <c r="D134" s="25">
        <f>C134-B134</f>
        <v>0.03125</v>
      </c>
      <c r="E134" t="s" s="22">
        <v>172</v>
      </c>
      <c r="F134" t="s" s="22">
        <v>179</v>
      </c>
    </row>
    <row r="135" ht="20.05" customHeight="1">
      <c r="A135" s="18"/>
      <c r="B135" s="19">
        <v>44358.395833333336</v>
      </c>
      <c r="C135" s="20">
        <v>44358.493055555555</v>
      </c>
      <c r="D135" s="24">
        <f>C135-B135</f>
        <v>0.09722222222222222</v>
      </c>
      <c r="E135" t="s" s="22">
        <v>93</v>
      </c>
      <c r="F135" t="s" s="22">
        <v>180</v>
      </c>
    </row>
    <row r="136" ht="20.05" customHeight="1">
      <c r="A136" s="18"/>
      <c r="B136" s="19">
        <v>44358.510416666664</v>
      </c>
      <c r="C136" s="20">
        <v>44358.604166666664</v>
      </c>
      <c r="D136" s="24">
        <f>C136-B136</f>
        <v>0.09375</v>
      </c>
      <c r="E136" t="s" s="22">
        <v>93</v>
      </c>
      <c r="F136" t="s" s="22">
        <v>181</v>
      </c>
    </row>
    <row r="137" ht="20.35" customHeight="1">
      <c r="A137" s="26"/>
      <c r="B137" s="27">
        <v>44358.635416666664</v>
      </c>
      <c r="C137" s="28">
        <v>44358.708333333336</v>
      </c>
      <c r="D137" s="33">
        <f>C137-B137</f>
        <v>0.07291666666666667</v>
      </c>
      <c r="E137" t="s" s="30">
        <v>7</v>
      </c>
      <c r="F137" s="30"/>
    </row>
    <row r="138" ht="20.7" customHeight="1">
      <c r="A138" t="s" s="9">
        <v>182</v>
      </c>
      <c r="B138" s="10"/>
      <c r="C138" s="11"/>
      <c r="D138" s="31">
        <v>1.253472222222222</v>
      </c>
      <c r="E138" s="11"/>
      <c r="F138" s="11"/>
    </row>
    <row r="139" ht="20.35" customHeight="1">
      <c r="A139" s="13">
        <v>44361</v>
      </c>
      <c r="B139" s="14"/>
      <c r="C139" s="15"/>
      <c r="D139" s="34">
        <v>0</v>
      </c>
      <c r="E139" s="35"/>
      <c r="F139" t="s" s="17">
        <v>183</v>
      </c>
    </row>
    <row r="140" ht="20.05" customHeight="1">
      <c r="A140" s="18">
        <v>44362</v>
      </c>
      <c r="B140" s="19">
        <v>44362.375</v>
      </c>
      <c r="C140" s="20">
        <v>44362.416666666664</v>
      </c>
      <c r="D140" s="21">
        <f>C140-B140</f>
        <v>0.04166666666666666</v>
      </c>
      <c r="E140" t="s" s="22">
        <v>184</v>
      </c>
      <c r="F140" t="s" s="22">
        <v>185</v>
      </c>
    </row>
    <row r="141" ht="20.35" customHeight="1">
      <c r="A141" s="26">
        <v>44365</v>
      </c>
      <c r="B141" s="27">
        <v>44365.635416666664</v>
      </c>
      <c r="C141" s="28">
        <v>44365.704861111109</v>
      </c>
      <c r="D141" s="33">
        <f>C141-B141</f>
        <v>0.06944444444444445</v>
      </c>
      <c r="E141" t="s" s="30">
        <v>7</v>
      </c>
      <c r="F141" s="30"/>
    </row>
    <row r="142" ht="20.7" customHeight="1">
      <c r="A142" t="s" s="9">
        <v>186</v>
      </c>
      <c r="B142" s="10"/>
      <c r="C142" s="11"/>
      <c r="D142" s="31">
        <v>0.1111111111111111</v>
      </c>
      <c r="E142" s="11"/>
      <c r="F142" s="11"/>
    </row>
    <row r="143" ht="20.35" customHeight="1">
      <c r="A143" s="13">
        <v>44368</v>
      </c>
      <c r="B143" s="14">
        <v>44368.354166666664</v>
      </c>
      <c r="C143" s="15">
        <v>44368.402777777781</v>
      </c>
      <c r="D143" s="16">
        <f>C143-B143</f>
        <v>0.04861111111111111</v>
      </c>
      <c r="E143" t="s" s="17">
        <v>187</v>
      </c>
      <c r="F143" t="s" s="17">
        <v>188</v>
      </c>
    </row>
    <row r="144" ht="32.05" customHeight="1">
      <c r="A144" s="18"/>
      <c r="B144" s="19">
        <v>44368.489583333336</v>
      </c>
      <c r="C144" s="20">
        <v>44368.534722222219</v>
      </c>
      <c r="D144" s="24">
        <f>C144-B144</f>
        <v>0.04513888888888889</v>
      </c>
      <c r="E144" t="s" s="22">
        <v>189</v>
      </c>
      <c r="F144" t="s" s="22">
        <v>190</v>
      </c>
    </row>
    <row r="145" ht="20.05" customHeight="1">
      <c r="A145" s="18"/>
      <c r="B145" s="19">
        <v>44368.552083333336</v>
      </c>
      <c r="C145" s="20">
        <v>44368.645833333336</v>
      </c>
      <c r="D145" s="24">
        <f>C145-B145</f>
        <v>0.09375</v>
      </c>
      <c r="E145" t="s" s="22">
        <v>172</v>
      </c>
      <c r="F145" t="s" s="22">
        <v>191</v>
      </c>
    </row>
    <row r="146" ht="20.05" customHeight="1">
      <c r="A146" s="18"/>
      <c r="B146" s="19">
        <v>44368.666666666664</v>
      </c>
      <c r="C146" s="20">
        <v>44368.729166666664</v>
      </c>
      <c r="D146" s="24">
        <f>C146-B146</f>
        <v>0.0625</v>
      </c>
      <c r="E146" t="s" s="22">
        <v>172</v>
      </c>
      <c r="F146" t="s" s="22">
        <v>192</v>
      </c>
    </row>
    <row r="147" ht="32.05" customHeight="1">
      <c r="A147" s="18"/>
      <c r="B147" s="19">
        <v>44368.791666666664</v>
      </c>
      <c r="C147" s="20">
        <v>44368.854166666664</v>
      </c>
      <c r="D147" s="24">
        <f>C147-B147</f>
        <v>0.0625</v>
      </c>
      <c r="E147" t="s" s="22">
        <v>172</v>
      </c>
      <c r="F147" t="s" s="22">
        <v>193</v>
      </c>
    </row>
    <row r="148" ht="32.05" customHeight="1">
      <c r="A148" s="18">
        <v>44369</v>
      </c>
      <c r="B148" s="19">
        <v>44369.319444444445</v>
      </c>
      <c r="C148" s="20">
        <v>44369.416666666664</v>
      </c>
      <c r="D148" s="24">
        <f>C148-B148</f>
        <v>0.09722222222222222</v>
      </c>
      <c r="E148" t="s" s="22">
        <v>194</v>
      </c>
      <c r="F148" t="s" s="22">
        <v>195</v>
      </c>
    </row>
    <row r="149" ht="20.05" customHeight="1">
      <c r="A149" s="18"/>
      <c r="B149" s="19">
        <v>44369.5</v>
      </c>
      <c r="C149" s="20">
        <v>44369.614583333336</v>
      </c>
      <c r="D149" s="24">
        <f>C149-B149</f>
        <v>0.1145833333333333</v>
      </c>
      <c r="E149" t="s" s="22">
        <v>196</v>
      </c>
      <c r="F149" t="s" s="22">
        <v>197</v>
      </c>
    </row>
    <row r="150" ht="20.05" customHeight="1">
      <c r="A150" s="18"/>
      <c r="B150" s="19">
        <v>44369.635416666664</v>
      </c>
      <c r="C150" s="20">
        <v>44369.770833333336</v>
      </c>
      <c r="D150" s="24">
        <f>C150-B150</f>
        <v>0.1354166666666667</v>
      </c>
      <c r="E150" t="s" s="22">
        <v>196</v>
      </c>
      <c r="F150" t="s" s="22">
        <v>198</v>
      </c>
    </row>
    <row r="151" ht="20.05" customHeight="1">
      <c r="A151" s="18">
        <v>44370</v>
      </c>
      <c r="B151" s="19">
        <v>44370.729166666664</v>
      </c>
      <c r="C151" s="20">
        <v>44370.8125</v>
      </c>
      <c r="D151" s="24">
        <f>C151-B151</f>
        <v>0.08333333333333333</v>
      </c>
      <c r="E151" t="s" s="22">
        <v>22</v>
      </c>
      <c r="F151" s="22"/>
    </row>
    <row r="152" ht="32.05" customHeight="1">
      <c r="A152" s="18">
        <v>44371</v>
      </c>
      <c r="B152" s="19">
        <v>44371.375</v>
      </c>
      <c r="C152" s="20">
        <v>44371.5</v>
      </c>
      <c r="D152" s="24">
        <f>C152-B152</f>
        <v>0.125</v>
      </c>
      <c r="E152" t="s" s="22">
        <v>199</v>
      </c>
      <c r="F152" t="s" s="22">
        <v>200</v>
      </c>
    </row>
    <row r="153" ht="20.05" customHeight="1">
      <c r="A153" s="18"/>
      <c r="B153" s="19">
        <v>44371.53125</v>
      </c>
      <c r="C153" s="20">
        <v>44371.583333333336</v>
      </c>
      <c r="D153" s="24">
        <f>C153-B153</f>
        <v>0.05208333333333334</v>
      </c>
      <c r="E153" t="s" s="22">
        <v>196</v>
      </c>
      <c r="F153" t="s" s="22">
        <v>201</v>
      </c>
    </row>
    <row r="154" ht="20.05" customHeight="1">
      <c r="A154" s="18"/>
      <c r="B154" s="19">
        <v>44371.833333333336</v>
      </c>
      <c r="C154" s="20">
        <v>44371.9375</v>
      </c>
      <c r="D154" s="24">
        <f>C154-B154</f>
        <v>0.1041666666666667</v>
      </c>
      <c r="E154" t="s" s="22">
        <v>202</v>
      </c>
      <c r="F154" t="s" s="22">
        <v>203</v>
      </c>
    </row>
    <row r="155" ht="20.05" customHeight="1">
      <c r="A155" s="18">
        <v>44372</v>
      </c>
      <c r="B155" s="19">
        <v>44372.333333333336</v>
      </c>
      <c r="C155" s="20">
        <v>44372.416666666664</v>
      </c>
      <c r="D155" s="24">
        <f>C155-B155</f>
        <v>0.08333333333333333</v>
      </c>
      <c r="E155" t="s" s="22">
        <v>202</v>
      </c>
      <c r="F155" t="s" s="22">
        <v>204</v>
      </c>
    </row>
    <row r="156" ht="32.05" customHeight="1">
      <c r="A156" s="18"/>
      <c r="B156" s="19">
        <v>44372.4375</v>
      </c>
      <c r="C156" s="20">
        <v>44372.552083333336</v>
      </c>
      <c r="D156" s="24">
        <f>C156-B156</f>
        <v>0.1145833333333333</v>
      </c>
      <c r="E156" t="s" s="22">
        <v>205</v>
      </c>
      <c r="F156" t="s" s="22">
        <v>206</v>
      </c>
    </row>
    <row r="157" ht="20.35" customHeight="1">
      <c r="A157" s="26"/>
      <c r="B157" s="27">
        <v>44372.635416666664</v>
      </c>
      <c r="C157" s="28">
        <v>44372.677083333336</v>
      </c>
      <c r="D157" s="33">
        <f>C157-B157</f>
        <v>0.04166666666666666</v>
      </c>
      <c r="E157" t="s" s="30">
        <v>7</v>
      </c>
      <c r="F157" s="30"/>
    </row>
    <row r="158" ht="20.7" customHeight="1">
      <c r="A158" t="s" s="9">
        <v>207</v>
      </c>
      <c r="B158" s="10"/>
      <c r="C158" s="11"/>
      <c r="D158" s="31">
        <v>1.263888888888889</v>
      </c>
      <c r="E158" s="11"/>
      <c r="F158" s="11"/>
    </row>
    <row r="159" ht="20.35" customHeight="1">
      <c r="A159" s="13">
        <v>44375</v>
      </c>
      <c r="B159" s="14"/>
      <c r="C159" s="15"/>
      <c r="D159" s="16">
        <v>0</v>
      </c>
      <c r="E159" t="s" s="17">
        <v>208</v>
      </c>
      <c r="F159" s="17"/>
    </row>
    <row r="160" ht="20.05" customHeight="1">
      <c r="A160" s="18">
        <v>44376</v>
      </c>
      <c r="B160" s="19">
        <v>44376.354166666664</v>
      </c>
      <c r="C160" s="20">
        <v>44376.416666666664</v>
      </c>
      <c r="D160" s="24">
        <f>C160-B160</f>
        <v>0.0625</v>
      </c>
      <c r="E160" t="s" s="22">
        <v>202</v>
      </c>
      <c r="F160" t="s" s="22">
        <v>209</v>
      </c>
    </row>
    <row r="161" ht="44.05" customHeight="1">
      <c r="A161" s="18"/>
      <c r="B161" s="19">
        <v>44376.4375</v>
      </c>
      <c r="C161" s="20">
        <v>44376.479166666664</v>
      </c>
      <c r="D161" s="24">
        <f>C161-B161</f>
        <v>0.04166666666666666</v>
      </c>
      <c r="E161" t="s" s="22">
        <v>210</v>
      </c>
      <c r="F161" t="s" s="22">
        <v>211</v>
      </c>
    </row>
    <row r="162" ht="20.05" customHeight="1">
      <c r="A162" s="18"/>
      <c r="B162" s="19">
        <v>44376.486111111109</v>
      </c>
      <c r="C162" s="20">
        <v>44376.604166666664</v>
      </c>
      <c r="D162" s="24">
        <f>C162-B162</f>
        <v>0.1180555555555556</v>
      </c>
      <c r="E162" t="s" s="22">
        <v>202</v>
      </c>
      <c r="F162" t="s" s="22">
        <v>212</v>
      </c>
    </row>
    <row r="163" ht="32.05" customHeight="1">
      <c r="A163" s="18"/>
      <c r="B163" s="19">
        <v>44376.625</v>
      </c>
      <c r="C163" s="20">
        <v>44376.739583333336</v>
      </c>
      <c r="D163" s="24">
        <f>C163-B163</f>
        <v>0.1145833333333333</v>
      </c>
      <c r="E163" t="s" s="22">
        <v>213</v>
      </c>
      <c r="F163" t="s" s="22">
        <v>214</v>
      </c>
    </row>
    <row r="164" ht="20.05" customHeight="1">
      <c r="A164" s="18">
        <v>44377</v>
      </c>
      <c r="B164" s="19">
        <v>44377.322916666664</v>
      </c>
      <c r="C164" s="20">
        <v>44377.416666666664</v>
      </c>
      <c r="D164" s="24">
        <f>C164-B164</f>
        <v>0.09375</v>
      </c>
      <c r="E164" t="s" s="22">
        <v>215</v>
      </c>
      <c r="F164" t="s" s="22">
        <v>216</v>
      </c>
    </row>
    <row r="165" ht="32.05" customHeight="1">
      <c r="A165" s="18"/>
      <c r="B165" s="19">
        <v>44377.416666666664</v>
      </c>
      <c r="C165" s="20">
        <v>44377.427083333336</v>
      </c>
      <c r="D165" s="24">
        <f>C165-B165</f>
        <v>0.01041666666666667</v>
      </c>
      <c r="E165" t="s" s="22">
        <v>217</v>
      </c>
      <c r="F165" t="s" s="22">
        <v>218</v>
      </c>
    </row>
    <row r="166" ht="32.05" customHeight="1">
      <c r="A166" s="18"/>
      <c r="B166" s="19">
        <v>44377.5</v>
      </c>
      <c r="C166" s="20">
        <v>44377.614583333336</v>
      </c>
      <c r="D166" s="24">
        <f>C166-B166</f>
        <v>0.1145833333333333</v>
      </c>
      <c r="E166" t="s" s="22">
        <v>219</v>
      </c>
      <c r="F166" t="s" s="22">
        <v>220</v>
      </c>
    </row>
    <row r="167" ht="32.05" customHeight="1">
      <c r="A167" s="18"/>
      <c r="B167" s="19">
        <v>44377.666666666664</v>
      </c>
      <c r="C167" s="20">
        <v>44377.75</v>
      </c>
      <c r="D167" s="24">
        <f>C167-B167</f>
        <v>0.08333333333333333</v>
      </c>
      <c r="E167" t="s" s="22">
        <v>172</v>
      </c>
      <c r="F167" t="s" s="22">
        <v>221</v>
      </c>
    </row>
    <row r="168" ht="20.05" customHeight="1">
      <c r="A168" s="18">
        <v>44378</v>
      </c>
      <c r="B168" s="19">
        <v>44378.354166666664</v>
      </c>
      <c r="C168" s="20">
        <v>44378.541666666664</v>
      </c>
      <c r="D168" s="24">
        <f>C168-B168</f>
        <v>0.1875</v>
      </c>
      <c r="E168" t="s" s="22">
        <v>222</v>
      </c>
      <c r="F168" t="s" s="22">
        <v>223</v>
      </c>
    </row>
    <row r="169" ht="32.05" customHeight="1">
      <c r="A169" s="18"/>
      <c r="B169" s="19">
        <v>44378.604166666664</v>
      </c>
      <c r="C169" s="20">
        <v>44378.763888888891</v>
      </c>
      <c r="D169" s="24">
        <f>C169-B169</f>
        <v>0.1597222222222222</v>
      </c>
      <c r="E169" t="s" s="22">
        <v>224</v>
      </c>
      <c r="F169" t="s" s="22">
        <v>225</v>
      </c>
    </row>
    <row r="170" ht="32.05" customHeight="1">
      <c r="A170" s="18">
        <v>44379</v>
      </c>
      <c r="B170" s="19">
        <v>44379.375</v>
      </c>
      <c r="C170" s="20">
        <v>44379.479166666664</v>
      </c>
      <c r="D170" s="24">
        <f>C170-B170</f>
        <v>0.1041666666666667</v>
      </c>
      <c r="E170" t="s" s="22">
        <v>226</v>
      </c>
      <c r="F170" t="s" s="22">
        <v>227</v>
      </c>
    </row>
    <row r="171" ht="20.05" customHeight="1">
      <c r="A171" s="18"/>
      <c r="B171" s="19">
        <v>44379.541666666664</v>
      </c>
      <c r="C171" s="20">
        <v>44379.635416666664</v>
      </c>
      <c r="D171" s="24">
        <f>C171-B171</f>
        <v>0.09375</v>
      </c>
      <c r="E171" t="s" s="22">
        <v>228</v>
      </c>
      <c r="F171" t="s" s="22">
        <v>229</v>
      </c>
    </row>
    <row r="172" ht="20.35" customHeight="1">
      <c r="A172" s="26"/>
      <c r="B172" s="27">
        <v>44379.635416666664</v>
      </c>
      <c r="C172" s="28">
        <v>44379.677083333336</v>
      </c>
      <c r="D172" s="33">
        <f>C172-B172</f>
        <v>0.04166666666666666</v>
      </c>
      <c r="E172" t="s" s="30">
        <v>7</v>
      </c>
      <c r="F172" s="30"/>
    </row>
    <row r="173" ht="20.7" customHeight="1">
      <c r="A173" t="s" s="9">
        <v>230</v>
      </c>
      <c r="B173" s="10"/>
      <c r="C173" s="11"/>
      <c r="D173" s="31">
        <v>1.225694444444444</v>
      </c>
      <c r="E173" s="11"/>
      <c r="F173" s="11"/>
    </row>
    <row r="174" ht="20.35" customHeight="1">
      <c r="A174" s="13">
        <v>44382</v>
      </c>
      <c r="B174" s="14">
        <v>44382.520833333336</v>
      </c>
      <c r="C174" s="15">
        <v>44382.645833333336</v>
      </c>
      <c r="D174" s="16">
        <f>C174-B174</f>
        <v>0.125</v>
      </c>
      <c r="E174" t="s" s="17">
        <v>231</v>
      </c>
      <c r="F174" t="s" s="17">
        <v>232</v>
      </c>
    </row>
    <row r="175" ht="20.05" customHeight="1">
      <c r="A175" s="18"/>
      <c r="B175" s="19">
        <v>44382.729166666664</v>
      </c>
      <c r="C175" s="20">
        <v>44382.791666666664</v>
      </c>
      <c r="D175" s="24">
        <f>C175-B175</f>
        <v>0.0625</v>
      </c>
      <c r="E175" t="s" s="22">
        <v>233</v>
      </c>
      <c r="F175" t="s" s="22">
        <v>234</v>
      </c>
    </row>
    <row r="176" ht="32.05" customHeight="1">
      <c r="A176" s="18">
        <v>44383</v>
      </c>
      <c r="B176" s="19">
        <v>44383.395833333336</v>
      </c>
      <c r="C176" s="20">
        <v>44383.541666666664</v>
      </c>
      <c r="D176" s="24">
        <f>C176-B176</f>
        <v>0.1458333333333333</v>
      </c>
      <c r="E176" t="s" s="22">
        <v>18</v>
      </c>
      <c r="F176" t="s" s="22">
        <v>235</v>
      </c>
    </row>
    <row r="177" ht="44.05" customHeight="1">
      <c r="A177" s="18"/>
      <c r="B177" s="19">
        <v>44383.604166666664</v>
      </c>
      <c r="C177" s="20">
        <v>44383.722222222219</v>
      </c>
      <c r="D177" s="24">
        <f>C177-B177</f>
        <v>0.1180555555555556</v>
      </c>
      <c r="E177" t="s" s="22">
        <v>83</v>
      </c>
      <c r="F177" t="s" s="22">
        <v>236</v>
      </c>
    </row>
    <row r="178" ht="44.05" customHeight="1">
      <c r="A178" s="18">
        <v>44384</v>
      </c>
      <c r="B178" s="19">
        <v>44384.4375</v>
      </c>
      <c r="C178" s="20">
        <v>44384.59375</v>
      </c>
      <c r="D178" s="24">
        <f>C178-B178</f>
        <v>0.15625</v>
      </c>
      <c r="E178" t="s" s="22">
        <v>237</v>
      </c>
      <c r="F178" t="s" s="22">
        <v>238</v>
      </c>
    </row>
    <row r="179" ht="20.05" customHeight="1">
      <c r="A179" s="18"/>
      <c r="B179" s="19">
        <v>44384.65625</v>
      </c>
      <c r="C179" s="20">
        <v>44384.677083333336</v>
      </c>
      <c r="D179" s="24">
        <f>C179-B179</f>
        <v>0.02083333333333333</v>
      </c>
      <c r="E179" t="s" s="22">
        <v>239</v>
      </c>
      <c r="F179" s="22"/>
    </row>
    <row r="180" ht="20.1" customHeight="1">
      <c r="A180" s="18"/>
      <c r="B180" s="19">
        <v>44384.760416666664</v>
      </c>
      <c r="C180" s="20">
        <v>44384.875</v>
      </c>
      <c r="D180" s="24">
        <f>C180-B180</f>
        <v>0.1145833333333333</v>
      </c>
      <c r="E180" t="s" s="22">
        <v>93</v>
      </c>
      <c r="F180" t="s" s="22">
        <v>240</v>
      </c>
    </row>
    <row r="181" ht="20.1" customHeight="1">
      <c r="A181" s="18">
        <v>44385</v>
      </c>
      <c r="B181" s="19">
        <v>44385.395833333336</v>
      </c>
      <c r="C181" s="20">
        <v>44385.520833333336</v>
      </c>
      <c r="D181" s="24">
        <f>C181-B181</f>
        <v>0.125</v>
      </c>
      <c r="E181" t="s" s="22">
        <v>93</v>
      </c>
      <c r="F181" t="s" s="22">
        <v>241</v>
      </c>
    </row>
    <row r="182" ht="20.1" customHeight="1">
      <c r="A182" s="18"/>
      <c r="B182" s="19">
        <v>44385.552083333336</v>
      </c>
      <c r="C182" s="20">
        <v>44385.645833333336</v>
      </c>
      <c r="D182" s="24">
        <f>C182-B182</f>
        <v>0.09375</v>
      </c>
      <c r="E182" t="s" s="22">
        <v>93</v>
      </c>
      <c r="F182" t="s" s="22">
        <v>242</v>
      </c>
    </row>
    <row r="183" ht="32.1" customHeight="1">
      <c r="A183" s="18"/>
      <c r="B183" s="19">
        <v>44385.729166666664</v>
      </c>
      <c r="C183" s="20">
        <v>44385.895833333336</v>
      </c>
      <c r="D183" s="24">
        <f>C183-B183</f>
        <v>0.1666666666666667</v>
      </c>
      <c r="E183" t="s" s="22">
        <v>93</v>
      </c>
      <c r="F183" t="s" s="22">
        <v>243</v>
      </c>
    </row>
    <row r="184" ht="32.05" customHeight="1">
      <c r="A184" s="18">
        <v>44386</v>
      </c>
      <c r="B184" s="19">
        <v>44387.395833333336</v>
      </c>
      <c r="C184" s="20">
        <v>44387.520833333336</v>
      </c>
      <c r="D184" s="24">
        <f>C184-B184</f>
        <v>0.125</v>
      </c>
      <c r="E184" t="s" s="22">
        <v>244</v>
      </c>
      <c r="F184" t="s" s="22">
        <v>245</v>
      </c>
    </row>
    <row r="185" ht="20.35" customHeight="1">
      <c r="A185" s="26"/>
      <c r="B185" s="27">
        <v>44386.583333333336</v>
      </c>
      <c r="C185" s="28">
        <v>44386.770833333336</v>
      </c>
      <c r="D185" s="33">
        <f>C185-B185</f>
        <v>0.1875</v>
      </c>
      <c r="E185" t="s" s="30">
        <v>246</v>
      </c>
      <c r="F185" t="s" s="30">
        <v>247</v>
      </c>
    </row>
    <row r="186" ht="20.7" customHeight="1">
      <c r="A186" t="s" s="9">
        <v>248</v>
      </c>
      <c r="B186" s="10"/>
      <c r="C186" s="11"/>
      <c r="D186" s="31">
        <v>1.440972222222222</v>
      </c>
      <c r="E186" s="11"/>
      <c r="F186" s="11"/>
    </row>
    <row r="187" ht="20.35" customHeight="1">
      <c r="A187" s="13">
        <v>44389</v>
      </c>
      <c r="B187" s="14">
        <v>44389.333333333336</v>
      </c>
      <c r="C187" s="15">
        <v>44389.40625</v>
      </c>
      <c r="D187" s="16">
        <f>C187-B187</f>
        <v>0.07291666666666667</v>
      </c>
      <c r="E187" t="s" s="17">
        <v>249</v>
      </c>
      <c r="F187" s="17"/>
    </row>
    <row r="188" ht="20.05" customHeight="1">
      <c r="A188" s="18"/>
      <c r="B188" s="19">
        <v>44389.625</v>
      </c>
      <c r="C188" s="20">
        <v>44389.739583333336</v>
      </c>
      <c r="D188" s="24">
        <f>C188-B188</f>
        <v>0.1145833333333333</v>
      </c>
      <c r="E188" t="s" s="22">
        <v>93</v>
      </c>
      <c r="F188" t="s" s="22">
        <v>250</v>
      </c>
    </row>
    <row r="189" ht="20.05" customHeight="1">
      <c r="A189" s="18"/>
      <c r="B189" s="19">
        <v>44389.770833333336</v>
      </c>
      <c r="C189" s="20">
        <v>44389.833333333336</v>
      </c>
      <c r="D189" s="24">
        <f>C189-B189</f>
        <v>0.0625</v>
      </c>
      <c r="E189" t="s" s="22">
        <v>93</v>
      </c>
      <c r="F189" t="s" s="22">
        <v>251</v>
      </c>
    </row>
    <row r="190" ht="20.05" customHeight="1">
      <c r="A190" s="18">
        <v>44390</v>
      </c>
      <c r="B190" s="19">
        <v>44391.395833333336</v>
      </c>
      <c r="C190" s="20">
        <v>44391.520833333336</v>
      </c>
      <c r="D190" s="24">
        <f>C190-B190</f>
        <v>0.125</v>
      </c>
      <c r="E190" t="s" s="22">
        <v>252</v>
      </c>
      <c r="F190" t="s" s="22">
        <v>253</v>
      </c>
    </row>
    <row r="191" ht="20.05" customHeight="1">
      <c r="A191" s="18">
        <v>44391</v>
      </c>
      <c r="B191" s="19">
        <v>44391.375</v>
      </c>
      <c r="C191" s="20">
        <v>44391.479166666664</v>
      </c>
      <c r="D191" s="24">
        <f>C191-B191</f>
        <v>0.1041666666666667</v>
      </c>
      <c r="E191" t="s" s="22">
        <v>93</v>
      </c>
      <c r="F191" t="s" s="22">
        <v>254</v>
      </c>
    </row>
    <row r="192" ht="32.05" customHeight="1">
      <c r="A192" s="18"/>
      <c r="B192" s="19">
        <v>44391.520833333336</v>
      </c>
      <c r="C192" s="20">
        <v>44391.583333333336</v>
      </c>
      <c r="D192" s="24">
        <f>C192-B192</f>
        <v>0.0625</v>
      </c>
      <c r="E192" t="s" s="22">
        <v>255</v>
      </c>
      <c r="F192" t="s" s="22">
        <v>256</v>
      </c>
    </row>
    <row r="193" ht="20.05" customHeight="1">
      <c r="A193" s="18"/>
      <c r="B193" s="19">
        <v>44391.583333333336</v>
      </c>
      <c r="C193" s="20">
        <v>44391.625</v>
      </c>
      <c r="D193" s="24">
        <f>C193-B193</f>
        <v>0.04166666666666666</v>
      </c>
      <c r="E193" t="s" s="22">
        <v>257</v>
      </c>
      <c r="F193" s="22"/>
    </row>
    <row r="194" ht="20.05" customHeight="1">
      <c r="A194" s="18"/>
      <c r="B194" s="19">
        <v>44391.708333333336</v>
      </c>
      <c r="C194" s="20">
        <v>44391.8125</v>
      </c>
      <c r="D194" s="24">
        <f>C194-B194</f>
        <v>0.1041666666666667</v>
      </c>
      <c r="E194" t="s" s="22">
        <v>93</v>
      </c>
      <c r="F194" t="s" s="22">
        <v>258</v>
      </c>
    </row>
    <row r="195" ht="20.05" customHeight="1">
      <c r="A195" s="18">
        <v>44392</v>
      </c>
      <c r="B195" s="19">
        <v>44392.361111111109</v>
      </c>
      <c r="C195" s="20">
        <v>44392.479166666664</v>
      </c>
      <c r="D195" s="24">
        <f>C195-B195</f>
        <v>0.1180555555555556</v>
      </c>
      <c r="E195" t="s" s="22">
        <v>93</v>
      </c>
      <c r="F195" t="s" s="22">
        <v>259</v>
      </c>
    </row>
    <row r="196" ht="20.05" customHeight="1">
      <c r="A196" s="18"/>
      <c r="B196" s="19">
        <v>44392.5</v>
      </c>
      <c r="C196" s="20">
        <v>44392.604166666664</v>
      </c>
      <c r="D196" s="24">
        <f>C196-B196</f>
        <v>0.1041666666666667</v>
      </c>
      <c r="E196" t="s" s="22">
        <v>93</v>
      </c>
      <c r="F196" t="s" s="22">
        <v>260</v>
      </c>
    </row>
    <row r="197" ht="32.05" customHeight="1">
      <c r="A197" s="18">
        <v>44393</v>
      </c>
      <c r="B197" s="19">
        <v>44393.333333333336</v>
      </c>
      <c r="C197" s="20">
        <v>44393.416666666664</v>
      </c>
      <c r="D197" s="24">
        <f>C197-B197</f>
        <v>0.08333333333333333</v>
      </c>
      <c r="E197" t="s" s="22">
        <v>261</v>
      </c>
      <c r="F197" t="s" s="22">
        <v>262</v>
      </c>
    </row>
    <row r="198" ht="20.05" customHeight="1">
      <c r="A198" s="18"/>
      <c r="B198" s="19">
        <v>44393.4375</v>
      </c>
      <c r="C198" s="20">
        <v>44393.520833333336</v>
      </c>
      <c r="D198" s="24">
        <f>C198-B198</f>
        <v>0.08333333333333333</v>
      </c>
      <c r="E198" t="s" s="22">
        <v>93</v>
      </c>
      <c r="F198" t="s" s="22">
        <v>263</v>
      </c>
    </row>
    <row r="199" ht="20.35" customHeight="1">
      <c r="A199" s="26"/>
      <c r="B199" s="27">
        <v>44395.625</v>
      </c>
      <c r="C199" s="28">
        <v>44395.833333333336</v>
      </c>
      <c r="D199" s="33">
        <f>C199-B199</f>
        <v>0.2083333333333333</v>
      </c>
      <c r="E199" t="s" s="30">
        <v>264</v>
      </c>
      <c r="F199" t="s" s="30">
        <v>265</v>
      </c>
    </row>
    <row r="200" ht="20.7" customHeight="1">
      <c r="A200" t="s" s="9">
        <v>266</v>
      </c>
      <c r="B200" s="10"/>
      <c r="C200" s="11"/>
      <c r="D200" s="31">
        <v>1.284722222222222</v>
      </c>
      <c r="E200" s="11"/>
      <c r="F200" s="11"/>
    </row>
    <row r="201" ht="20.35" customHeight="1">
      <c r="A201" s="13">
        <v>44396</v>
      </c>
      <c r="B201" s="14">
        <v>44396.416666666664</v>
      </c>
      <c r="C201" s="15">
        <v>44396.541666666664</v>
      </c>
      <c r="D201" s="16">
        <f>C201-B201</f>
        <v>0.125</v>
      </c>
      <c r="E201" t="s" s="17">
        <v>93</v>
      </c>
      <c r="F201" t="s" s="17">
        <v>267</v>
      </c>
    </row>
    <row r="202" ht="20.05" customHeight="1">
      <c r="A202" s="18"/>
      <c r="B202" s="19">
        <v>44396.59375</v>
      </c>
      <c r="C202" s="20">
        <v>44396.729166666664</v>
      </c>
      <c r="D202" s="24">
        <f>C202-B202</f>
        <v>0.1354166666666667</v>
      </c>
      <c r="E202" t="s" s="22">
        <v>268</v>
      </c>
      <c r="F202" t="s" s="22">
        <v>269</v>
      </c>
    </row>
    <row r="203" ht="20.05" customHeight="1">
      <c r="A203" s="18">
        <v>44397</v>
      </c>
      <c r="B203" s="19">
        <v>44397.364583333336</v>
      </c>
      <c r="C203" s="20">
        <v>44397.479166666664</v>
      </c>
      <c r="D203" s="24">
        <f>C203-B203</f>
        <v>0.1145833333333333</v>
      </c>
      <c r="E203" t="s" s="22">
        <v>270</v>
      </c>
      <c r="F203" t="s" s="22">
        <v>271</v>
      </c>
    </row>
    <row r="204" ht="20.05" customHeight="1">
      <c r="A204" s="18"/>
      <c r="B204" s="19">
        <v>44397.5</v>
      </c>
      <c r="C204" s="20">
        <v>44397.604166666664</v>
      </c>
      <c r="D204" s="24">
        <f>C204-B204</f>
        <v>0.1041666666666667</v>
      </c>
      <c r="E204" t="s" s="22">
        <v>270</v>
      </c>
      <c r="F204" t="s" s="22">
        <v>272</v>
      </c>
    </row>
    <row r="205" ht="20.05" customHeight="1">
      <c r="A205" s="18"/>
      <c r="B205" s="19">
        <v>44397.708333333336</v>
      </c>
      <c r="C205" s="20">
        <v>44397.833333333336</v>
      </c>
      <c r="D205" s="24">
        <f>C205-B205</f>
        <v>0.125</v>
      </c>
      <c r="E205" t="s" s="22">
        <v>270</v>
      </c>
      <c r="F205" t="s" s="22">
        <v>273</v>
      </c>
    </row>
    <row r="206" ht="20.05" customHeight="1">
      <c r="A206" s="18">
        <v>44398</v>
      </c>
      <c r="B206" s="19">
        <v>44398.5</v>
      </c>
      <c r="C206" s="20">
        <v>44398.604166666664</v>
      </c>
      <c r="D206" s="24">
        <f>C206-B206</f>
        <v>0.1041666666666667</v>
      </c>
      <c r="E206" t="s" s="22">
        <v>270</v>
      </c>
      <c r="F206" t="s" s="22">
        <v>274</v>
      </c>
    </row>
    <row r="207" ht="20.05" customHeight="1">
      <c r="A207" s="18"/>
      <c r="B207" s="19">
        <v>44398.625</v>
      </c>
      <c r="C207" s="20">
        <v>44398.729166666664</v>
      </c>
      <c r="D207" s="24">
        <f>C207-B207</f>
        <v>0.1041666666666667</v>
      </c>
      <c r="E207" t="s" s="22">
        <v>270</v>
      </c>
      <c r="F207" t="s" s="22">
        <v>275</v>
      </c>
    </row>
    <row r="208" ht="20.05" customHeight="1">
      <c r="A208" s="18"/>
      <c r="B208" s="19">
        <v>44398.75</v>
      </c>
      <c r="C208" s="20">
        <v>44398.833333333336</v>
      </c>
      <c r="D208" s="24">
        <f>C208-B208</f>
        <v>0.08333333333333333</v>
      </c>
      <c r="E208" t="s" s="22">
        <v>270</v>
      </c>
      <c r="F208" t="s" s="22">
        <v>276</v>
      </c>
    </row>
    <row r="209" ht="20.25" customHeight="1">
      <c r="A209" s="36">
        <v>44399</v>
      </c>
      <c r="B209" s="37">
        <v>44399.427083333336</v>
      </c>
      <c r="C209" s="38">
        <v>44399.510416666664</v>
      </c>
      <c r="D209" s="39">
        <f>C209-B209</f>
        <v>0.08333333333333333</v>
      </c>
      <c r="E209" t="s" s="40">
        <v>270</v>
      </c>
      <c r="F209" t="s" s="40">
        <v>277</v>
      </c>
    </row>
    <row r="210" ht="20.25" customHeight="1">
      <c r="A210" t="s" s="41">
        <v>278</v>
      </c>
      <c r="B210" s="42"/>
      <c r="C210" s="42"/>
      <c r="D210" s="43">
        <v>0.9791666666666666</v>
      </c>
      <c r="E210" s="42"/>
      <c r="F210" s="42"/>
    </row>
  </sheetData>
  <mergeCells count="1">
    <mergeCell ref="A1:F1"/>
  </mergeCells>
  <hyperlinks>
    <hyperlink ref="F18" r:id="rId1" location="" tooltip="" display="https://jinglescode.github.io/2020/04/25/setup-latex-atom/"/>
    <hyperlink ref="F130" r:id="rId2" location="" tooltip="" display="https://www.desmos.com/calculator/ppp0z5wnvx"/>
    <hyperlink ref="F178" r:id="rId3" location="" tooltip="" display="https://api.csswg.org/bikeshed/?force=1&amp;url=https://raw.githubusercontent.com/vector-of-bool/pitchfork/develop/data/spec.bs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B2:J34"/>
  <sheetViews>
    <sheetView workbookViewId="0" showGridLines="0" defaultGridColor="1">
      <pane topLeftCell="C4" xSplit="2" ySplit="3" activePane="bottomRight" state="frozen"/>
    </sheetView>
  </sheetViews>
  <sheetFormatPr defaultColWidth="16.3333" defaultRowHeight="19.9" customHeight="1" outlineLevelRow="0" outlineLevelCol="0"/>
  <cols>
    <col min="1" max="1" width="3.04688" style="44" customWidth="1"/>
    <col min="2" max="2" width="6.80469" style="44" customWidth="1"/>
    <col min="3" max="3" width="9.76562" style="44" customWidth="1"/>
    <col min="4" max="8" width="10.5781" style="44" customWidth="1"/>
    <col min="9" max="9" width="21.6172" style="62" customWidth="1"/>
    <col min="10" max="10" width="15.9766" style="62" customWidth="1"/>
    <col min="11" max="16384" width="16.3516" style="62" customWidth="1"/>
  </cols>
  <sheetData>
    <row r="1" ht="35.3" customHeight="1"/>
    <row r="2" ht="20.05" customHeight="1">
      <c r="B2" s="45"/>
      <c r="C2" t="s" s="46">
        <v>279</v>
      </c>
      <c r="D2" s="45"/>
      <c r="E2" s="45"/>
      <c r="F2" t="s" s="46">
        <v>280</v>
      </c>
      <c r="G2" s="45"/>
      <c r="H2" s="45"/>
    </row>
    <row r="3" ht="32.25" customHeight="1">
      <c r="B3" t="s" s="3">
        <v>281</v>
      </c>
      <c r="C3" t="s" s="3">
        <v>282</v>
      </c>
      <c r="D3" t="s" s="3">
        <v>283</v>
      </c>
      <c r="E3" t="s" s="3">
        <v>284</v>
      </c>
      <c r="F3" t="s" s="3">
        <v>282</v>
      </c>
      <c r="G3" t="s" s="3">
        <v>283</v>
      </c>
      <c r="H3" t="s" s="3">
        <v>284</v>
      </c>
    </row>
    <row r="4" ht="20.25" customHeight="1">
      <c r="B4" s="47">
        <v>0</v>
      </c>
      <c r="C4" s="48">
        <f>$B4*$J$32*5</f>
        <v>0</v>
      </c>
      <c r="D4" s="49">
        <f>$B4*$J$34*5</f>
        <v>0</v>
      </c>
      <c r="E4" s="49">
        <f>'Tracker'!D4</f>
        <v>0.04166666666666666</v>
      </c>
      <c r="F4" s="49">
        <v>1.041666666666667</v>
      </c>
      <c r="G4" s="50">
        <v>1.5625</v>
      </c>
      <c r="H4" s="49">
        <f>'Tracker'!D4</f>
        <v>0.04166666666666666</v>
      </c>
    </row>
    <row r="5" ht="20.05" customHeight="1">
      <c r="B5" s="51">
        <v>1</v>
      </c>
      <c r="C5" s="52">
        <f>C4+F5</f>
        <v>1.041666666666667</v>
      </c>
      <c r="D5" s="24">
        <f>D4+G5</f>
        <v>1.5625</v>
      </c>
      <c r="E5" s="24">
        <f>E4+H5</f>
        <v>1.381944444444444</v>
      </c>
      <c r="F5" s="21">
        <v>1.041666666666667</v>
      </c>
      <c r="G5" s="24">
        <v>1.5625</v>
      </c>
      <c r="H5" s="24">
        <f>'Tracker'!D22</f>
        <v>1.340277777777778</v>
      </c>
    </row>
    <row r="6" ht="20.05" customHeight="1">
      <c r="B6" s="51">
        <v>2</v>
      </c>
      <c r="C6" s="52">
        <f>C5+F6</f>
        <v>2.083333333333333</v>
      </c>
      <c r="D6" s="24">
        <f>D5+G6</f>
        <v>3.125</v>
      </c>
      <c r="E6" s="24">
        <f>E5+H6</f>
        <v>2.857638888888889</v>
      </c>
      <c r="F6" s="21">
        <v>1.041666666666667</v>
      </c>
      <c r="G6" s="24">
        <v>1.5625</v>
      </c>
      <c r="H6" s="24">
        <f>'Tracker'!D39</f>
        <v>1.475694444444444</v>
      </c>
    </row>
    <row r="7" ht="20.05" customHeight="1">
      <c r="B7" s="51">
        <v>3</v>
      </c>
      <c r="C7" s="52">
        <f>C6+F7</f>
        <v>3.125</v>
      </c>
      <c r="D7" s="24">
        <f>D6+G7</f>
        <v>4.6875</v>
      </c>
      <c r="E7" s="24">
        <f>E6+H7</f>
        <v>4.506944444444445</v>
      </c>
      <c r="F7" s="21">
        <v>1.041666666666667</v>
      </c>
      <c r="G7" s="24">
        <v>1.5625</v>
      </c>
      <c r="H7" s="24">
        <f>'Tracker'!D54</f>
        <v>1.649305555555556</v>
      </c>
    </row>
    <row r="8" ht="20.05" customHeight="1">
      <c r="B8" s="51">
        <v>4</v>
      </c>
      <c r="C8" s="52">
        <f>C7+F8</f>
        <v>4.166666666666667</v>
      </c>
      <c r="D8" s="24">
        <f>D7+G8</f>
        <v>6.25</v>
      </c>
      <c r="E8" s="24">
        <f>E7+H8</f>
        <v>5.704861111111111</v>
      </c>
      <c r="F8" s="21">
        <v>1.041666666666667</v>
      </c>
      <c r="G8" s="24">
        <v>1.5625</v>
      </c>
      <c r="H8" s="24">
        <f>'Tracker'!D66</f>
        <v>1.197916666666667</v>
      </c>
    </row>
    <row r="9" ht="20.05" customHeight="1">
      <c r="B9" s="51">
        <v>5</v>
      </c>
      <c r="C9" s="52">
        <f>C8+F9</f>
        <v>5.208333333333333</v>
      </c>
      <c r="D9" s="24">
        <f>D8+G9</f>
        <v>7.8125</v>
      </c>
      <c r="E9" s="24">
        <f>E8+H9</f>
        <v>7.263888888888889</v>
      </c>
      <c r="F9" s="21">
        <v>1.041666666666667</v>
      </c>
      <c r="G9" s="24">
        <v>1.5625</v>
      </c>
      <c r="H9" s="24">
        <f>'Tracker'!D83</f>
        <v>1.559027777777778</v>
      </c>
    </row>
    <row r="10" ht="20.05" customHeight="1">
      <c r="B10" s="51">
        <v>6</v>
      </c>
      <c r="C10" s="52">
        <f>C9+F10</f>
        <v>6.25</v>
      </c>
      <c r="D10" s="24">
        <f>D9+G10</f>
        <v>9.375</v>
      </c>
      <c r="E10" s="24">
        <f>E9+H10</f>
        <v>8.451388888888889</v>
      </c>
      <c r="F10" s="21">
        <v>1.041666666666667</v>
      </c>
      <c r="G10" s="24">
        <v>1.5625</v>
      </c>
      <c r="H10" s="24">
        <f>'Tracker'!D$98</f>
        <v>1.1875</v>
      </c>
    </row>
    <row r="11" ht="20.05" customHeight="1">
      <c r="B11" s="51">
        <v>7</v>
      </c>
      <c r="C11" s="52">
        <f>C10+F11</f>
        <v>7.291666666666667</v>
      </c>
      <c r="D11" s="24">
        <f>D10+G11</f>
        <v>10.9375</v>
      </c>
      <c r="E11" s="24">
        <f>E10+H11</f>
        <v>9.868055555555555</v>
      </c>
      <c r="F11" s="21">
        <v>1.041666666666667</v>
      </c>
      <c r="G11" s="24">
        <v>1.5625</v>
      </c>
      <c r="H11" s="24">
        <f>'Tracker'!D114</f>
        <v>1.416666666666667</v>
      </c>
    </row>
    <row r="12" ht="20.05" customHeight="1">
      <c r="B12" s="51">
        <v>8</v>
      </c>
      <c r="C12" s="52">
        <f>C11+F12</f>
        <v>8.333333333333334</v>
      </c>
      <c r="D12" s="24">
        <f>D11+G12</f>
        <v>12.5</v>
      </c>
      <c r="E12" s="24">
        <f>E11+H12</f>
        <v>11.19097222222222</v>
      </c>
      <c r="F12" s="21">
        <v>1.041666666666667</v>
      </c>
      <c r="G12" s="24">
        <v>1.5625</v>
      </c>
      <c r="H12" s="24">
        <f>'Tracker'!D126</f>
        <v>1.322916666666667</v>
      </c>
    </row>
    <row r="13" ht="20.05" customHeight="1">
      <c r="B13" s="51">
        <v>9</v>
      </c>
      <c r="C13" s="52">
        <f>C12+F13</f>
        <v>9.375</v>
      </c>
      <c r="D13" s="24">
        <f>D12+G13</f>
        <v>14.0625</v>
      </c>
      <c r="E13" s="24">
        <f>E12+H13</f>
        <v>12.44444444444444</v>
      </c>
      <c r="F13" s="21">
        <v>1.041666666666667</v>
      </c>
      <c r="G13" s="24">
        <v>1.5625</v>
      </c>
      <c r="H13" s="24">
        <f>'Tracker'!D138</f>
        <v>1.253472222222222</v>
      </c>
    </row>
    <row r="14" ht="20.05" customHeight="1">
      <c r="B14" s="51">
        <v>10</v>
      </c>
      <c r="C14" s="52">
        <f>C13+F14</f>
        <v>10.41666666666667</v>
      </c>
      <c r="D14" s="24">
        <f>D13+G14</f>
        <v>15.625</v>
      </c>
      <c r="E14" s="24">
        <f>E13+H14</f>
        <v>12.55555555555556</v>
      </c>
      <c r="F14" s="21">
        <v>1.041666666666667</v>
      </c>
      <c r="G14" s="24">
        <v>1.5625</v>
      </c>
      <c r="H14" s="24">
        <f>'Tracker'!D$142</f>
        <v>0.1111111111111111</v>
      </c>
    </row>
    <row r="15" ht="20.05" customHeight="1">
      <c r="B15" s="51">
        <v>11</v>
      </c>
      <c r="C15" s="52">
        <f>C14+F15</f>
        <v>11.45833333333333</v>
      </c>
      <c r="D15" s="24">
        <f>D14+G15</f>
        <v>17.1875</v>
      </c>
      <c r="E15" s="24">
        <f>E14+H15</f>
        <v>13.81944444444444</v>
      </c>
      <c r="F15" s="21">
        <v>1.041666666666667</v>
      </c>
      <c r="G15" s="24">
        <v>1.5625</v>
      </c>
      <c r="H15" s="24">
        <f>'Tracker'!D$158</f>
        <v>1.263888888888889</v>
      </c>
    </row>
    <row r="16" ht="20.05" customHeight="1">
      <c r="B16" s="51">
        <v>12</v>
      </c>
      <c r="C16" s="52">
        <f>C15+F16</f>
        <v>12.5</v>
      </c>
      <c r="D16" s="24">
        <f>D15+G16</f>
        <v>18.75</v>
      </c>
      <c r="E16" s="24">
        <f>E15+H16</f>
        <v>15.04513888888889</v>
      </c>
      <c r="F16" s="21">
        <v>1.041666666666667</v>
      </c>
      <c r="G16" s="24">
        <v>1.5625</v>
      </c>
      <c r="H16" s="24">
        <f>'Tracker'!D$173</f>
        <v>1.225694444444444</v>
      </c>
    </row>
    <row r="17" ht="20.05" customHeight="1">
      <c r="B17" s="51">
        <v>13</v>
      </c>
      <c r="C17" s="52">
        <f>C16+F17</f>
        <v>13.54166666666667</v>
      </c>
      <c r="D17" s="24"/>
      <c r="E17" s="24">
        <f>E16+H17</f>
        <v>16.48611111111111</v>
      </c>
      <c r="F17" s="21">
        <v>1.041666666666667</v>
      </c>
      <c r="G17" s="24">
        <v>1.5625</v>
      </c>
      <c r="H17" s="24">
        <f>'Tracker'!D$186</f>
        <v>1.440972222222222</v>
      </c>
    </row>
    <row r="18" ht="20.05" customHeight="1">
      <c r="B18" s="51">
        <v>14</v>
      </c>
      <c r="C18" s="52">
        <f>C17+F18</f>
        <v>14.58333333333333</v>
      </c>
      <c r="D18" s="24"/>
      <c r="E18" s="24">
        <f>E17+H18</f>
        <v>17.77083333333333</v>
      </c>
      <c r="F18" s="21">
        <v>1.041666666666667</v>
      </c>
      <c r="G18" s="24">
        <v>1.5625</v>
      </c>
      <c r="H18" s="24">
        <f>'Tracker'!D$200</f>
        <v>1.284722222222222</v>
      </c>
    </row>
    <row r="19" ht="20.05" customHeight="1">
      <c r="B19" s="51">
        <v>15</v>
      </c>
      <c r="C19" s="52">
        <f>C18+F19</f>
        <v>15.625</v>
      </c>
      <c r="D19" s="24"/>
      <c r="E19" s="24">
        <f>E18+H19</f>
        <v>18.75</v>
      </c>
      <c r="F19" s="21">
        <v>1.041666666666667</v>
      </c>
      <c r="G19" s="24">
        <v>1.5625</v>
      </c>
      <c r="H19" s="24">
        <f>'Tracker'!D$210</f>
        <v>0.9791666666666666</v>
      </c>
    </row>
    <row r="20" ht="20.05" customHeight="1">
      <c r="B20" s="51">
        <v>16</v>
      </c>
      <c r="C20" s="52">
        <f>C19+F20</f>
        <v>16.66666666666667</v>
      </c>
      <c r="D20" s="24"/>
      <c r="E20" s="24"/>
      <c r="F20" s="21">
        <v>1.041666666666667</v>
      </c>
      <c r="G20" s="24">
        <v>1.5625</v>
      </c>
      <c r="H20" s="24"/>
    </row>
    <row r="21" ht="20.05" customHeight="1">
      <c r="B21" s="51">
        <v>17</v>
      </c>
      <c r="C21" s="52">
        <f>C20+F21</f>
        <v>17.70833333333333</v>
      </c>
      <c r="D21" s="24"/>
      <c r="E21" s="24"/>
      <c r="F21" s="21">
        <v>1.041666666666667</v>
      </c>
      <c r="G21" s="24">
        <v>1.5625</v>
      </c>
      <c r="H21" s="24"/>
    </row>
    <row r="22" ht="20.25" customHeight="1">
      <c r="B22" s="53">
        <v>18</v>
      </c>
      <c r="C22" s="54">
        <f>C21+F22</f>
        <v>18.75</v>
      </c>
      <c r="D22" s="39"/>
      <c r="E22" s="39"/>
      <c r="F22" s="55">
        <v>1.041666666666667</v>
      </c>
      <c r="G22" s="39">
        <v>1.5625</v>
      </c>
      <c r="H22" s="39"/>
    </row>
    <row r="23" ht="20.25" customHeight="1">
      <c r="B23" t="s" s="56">
        <v>285</v>
      </c>
      <c r="C23" s="42"/>
      <c r="D23" s="42"/>
      <c r="E23" s="57">
        <v>1</v>
      </c>
      <c r="F23" s="42"/>
      <c r="G23" s="42"/>
      <c r="H23" s="42"/>
    </row>
    <row r="24" ht="20.05" customHeight="1">
      <c r="B24" t="s" s="58">
        <v>286</v>
      </c>
      <c r="C24" s="59"/>
      <c r="D24" s="59"/>
      <c r="E24" s="59">
        <v>0</v>
      </c>
      <c r="F24" s="60"/>
      <c r="G24" s="59"/>
      <c r="H24" s="59"/>
    </row>
    <row r="25" ht="20.05" customHeight="1">
      <c r="B25" t="s" s="58">
        <v>287</v>
      </c>
      <c r="C25" s="59"/>
      <c r="D25" s="59"/>
      <c r="E25" s="61">
        <f>E$24*24/'Daily'!D$78*24</f>
        <v>0</v>
      </c>
      <c r="F25" s="60"/>
      <c r="G25" s="59"/>
      <c r="H25" s="59"/>
    </row>
    <row r="26" ht="20.05" customHeight="1">
      <c r="B26" t="s" s="58">
        <v>288</v>
      </c>
      <c r="C26" s="59"/>
      <c r="D26" s="59"/>
      <c r="E26" s="61">
        <f>E$25/5</f>
        <v>0</v>
      </c>
      <c r="F26" s="60"/>
      <c r="G26" s="59"/>
      <c r="H26" s="59"/>
    </row>
    <row r="28" ht="20.25" customHeight="1">
      <c r="I28" s="63"/>
      <c r="J28" s="63"/>
    </row>
    <row r="29" ht="20.25" customHeight="1">
      <c r="I29" t="s" s="64">
        <v>289</v>
      </c>
      <c r="J29" s="48">
        <v>18.75</v>
      </c>
    </row>
    <row r="30" ht="32.05" customHeight="1">
      <c r="I30" t="s" s="65">
        <v>290</v>
      </c>
      <c r="J30" s="66">
        <v>18</v>
      </c>
    </row>
    <row r="31" ht="20.05" customHeight="1">
      <c r="I31" t="s" s="65">
        <v>291</v>
      </c>
      <c r="J31" s="66">
        <f>5*J30</f>
        <v>90</v>
      </c>
    </row>
    <row r="32" ht="21" customHeight="1">
      <c r="I32" t="s" s="65">
        <v>292</v>
      </c>
      <c r="J32" s="67">
        <f>J29/J31</f>
        <v>0.2083333333333333</v>
      </c>
    </row>
    <row r="33" ht="20.05" customHeight="1">
      <c r="I33" t="s" s="65">
        <v>293</v>
      </c>
      <c r="J33" s="66">
        <v>60</v>
      </c>
    </row>
    <row r="34" ht="21" customHeight="1">
      <c r="I34" t="s" s="65">
        <v>294</v>
      </c>
      <c r="J34" s="68">
        <f>J29/J33</f>
        <v>0.3125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7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69" customWidth="1"/>
    <col min="2" max="2" width="9.72656" style="69" customWidth="1"/>
    <col min="3" max="3" width="10.6172" style="69" customWidth="1"/>
    <col min="4" max="4" width="9.125" style="69" customWidth="1"/>
    <col min="5" max="5" width="13.0781" style="69" customWidth="1"/>
    <col min="6" max="16384" width="16.3516" style="69" customWidth="1"/>
  </cols>
  <sheetData>
    <row r="1" ht="27.65" customHeight="1">
      <c r="A1" t="s" s="2">
        <v>295</v>
      </c>
      <c r="B1" s="2"/>
      <c r="C1" s="2"/>
      <c r="D1" s="2"/>
      <c r="E1" s="2"/>
    </row>
    <row r="2" ht="20.25" customHeight="1">
      <c r="A2" t="s" s="3">
        <v>1</v>
      </c>
      <c r="B2" t="s" s="3">
        <v>296</v>
      </c>
      <c r="C2" t="s" s="3">
        <v>297</v>
      </c>
      <c r="D2" t="s" s="3">
        <v>284</v>
      </c>
      <c r="E2" t="s" s="3">
        <v>298</v>
      </c>
    </row>
    <row r="3" ht="20.25" customHeight="1">
      <c r="A3" s="70">
        <f>'Tracker'!$A5</f>
        <v>44298</v>
      </c>
      <c r="B3" s="48">
        <v>0.2083333333333333</v>
      </c>
      <c r="C3" s="50">
        <v>0.3125</v>
      </c>
      <c r="D3" s="50">
        <v>0.2916666666666667</v>
      </c>
      <c r="E3" s="71"/>
    </row>
    <row r="4" ht="20.05" customHeight="1">
      <c r="A4" s="72">
        <f>'Tracker'!$A8</f>
        <v>44299</v>
      </c>
      <c r="B4" s="73">
        <v>0.2083333333333333</v>
      </c>
      <c r="C4" s="24">
        <v>0.3125</v>
      </c>
      <c r="D4" s="24">
        <v>0.2291666666666667</v>
      </c>
      <c r="E4" s="23"/>
    </row>
    <row r="5" ht="20.05" customHeight="1">
      <c r="A5" s="72">
        <v>44300</v>
      </c>
      <c r="B5" s="73">
        <v>0.2083333333333333</v>
      </c>
      <c r="C5" s="24">
        <v>0.3125</v>
      </c>
      <c r="D5" s="21">
        <v>0.1666666666666667</v>
      </c>
      <c r="E5" s="24">
        <v>0.2680555555555555</v>
      </c>
    </row>
    <row r="6" ht="20.05" customHeight="1">
      <c r="A6" s="72">
        <v>44301</v>
      </c>
      <c r="B6" s="73">
        <v>0.2083333333333333</v>
      </c>
      <c r="C6" s="24">
        <v>0.3125</v>
      </c>
      <c r="D6" s="24">
        <v>0.3125</v>
      </c>
      <c r="E6" s="24">
        <v>0.2576388888888889</v>
      </c>
    </row>
    <row r="7" ht="20.35" customHeight="1">
      <c r="A7" s="74">
        <v>44302</v>
      </c>
      <c r="B7" s="75">
        <v>0.2083333333333333</v>
      </c>
      <c r="C7" s="33">
        <v>0.3125</v>
      </c>
      <c r="D7" s="33">
        <v>0.3402777777777778</v>
      </c>
      <c r="E7" s="33">
        <v>0.2826388888888889</v>
      </c>
    </row>
    <row r="8" ht="20.35" customHeight="1">
      <c r="A8" s="76">
        <f>'Tracker'!$A23</f>
        <v>44305</v>
      </c>
      <c r="B8" s="77">
        <v>0.2083333333333333</v>
      </c>
      <c r="C8" s="16">
        <v>0.3125</v>
      </c>
      <c r="D8" s="16">
        <v>0.2395833333333333</v>
      </c>
      <c r="E8" s="16">
        <v>0.3138888888888889</v>
      </c>
    </row>
    <row r="9" ht="20.05" customHeight="1">
      <c r="A9" s="72">
        <v>44306</v>
      </c>
      <c r="B9" s="73">
        <v>0.2083333333333333</v>
      </c>
      <c r="C9" s="24">
        <v>0.3125</v>
      </c>
      <c r="D9" s="24">
        <v>0.3541666666666667</v>
      </c>
      <c r="E9" s="24">
        <v>0.2680555555555555</v>
      </c>
    </row>
    <row r="10" ht="20.05" customHeight="1">
      <c r="A10" s="72">
        <v>44307</v>
      </c>
      <c r="B10" s="73">
        <v>0.2083333333333333</v>
      </c>
      <c r="C10" s="24">
        <v>0.3125</v>
      </c>
      <c r="D10" s="24">
        <v>0.3229166666666667</v>
      </c>
      <c r="E10" s="24">
        <v>0.2951388888888889</v>
      </c>
    </row>
    <row r="11" ht="20.05" customHeight="1">
      <c r="A11" s="72">
        <v>44308</v>
      </c>
      <c r="B11" s="73">
        <v>0.2083333333333333</v>
      </c>
      <c r="C11" s="24">
        <v>0.3125</v>
      </c>
      <c r="D11" s="21">
        <f>'Tracker'!D33</f>
        <v>0.08333333333333333</v>
      </c>
      <c r="E11" s="24">
        <v>0.2791666666666667</v>
      </c>
    </row>
    <row r="12" ht="20.35" customHeight="1">
      <c r="A12" s="74">
        <v>44309</v>
      </c>
      <c r="B12" s="75">
        <v>0.2083333333333333</v>
      </c>
      <c r="C12" s="33">
        <v>0.3125</v>
      </c>
      <c r="D12" s="33">
        <v>0.4756944444444444</v>
      </c>
      <c r="E12" s="33">
        <v>0.2576388888888889</v>
      </c>
    </row>
    <row r="13" ht="20.35" customHeight="1">
      <c r="A13" s="76">
        <v>44312</v>
      </c>
      <c r="B13" s="77">
        <v>0.2083333333333333</v>
      </c>
      <c r="C13" s="16">
        <v>0.3125</v>
      </c>
      <c r="D13" s="16">
        <v>0.1597222222222222</v>
      </c>
      <c r="E13" s="16">
        <v>0.2645833333333333</v>
      </c>
    </row>
    <row r="14" ht="20.05" customHeight="1">
      <c r="A14" s="72">
        <v>44313</v>
      </c>
      <c r="B14" s="73">
        <v>0.2083333333333333</v>
      </c>
      <c r="C14" s="24">
        <v>0.3125</v>
      </c>
      <c r="D14" s="24">
        <v>0.2465277777777778</v>
      </c>
      <c r="E14" s="24">
        <v>0.3333333333333333</v>
      </c>
    </row>
    <row r="15" ht="20.05" customHeight="1">
      <c r="A15" s="72">
        <v>44314</v>
      </c>
      <c r="B15" s="73">
        <v>0.2083333333333333</v>
      </c>
      <c r="C15" s="24">
        <v>0.3125</v>
      </c>
      <c r="D15" s="24">
        <v>0.3576388888888889</v>
      </c>
      <c r="E15" s="24">
        <v>0.3298611111111111</v>
      </c>
    </row>
    <row r="16" ht="20.05" customHeight="1">
      <c r="A16" s="72">
        <v>44315</v>
      </c>
      <c r="B16" s="73">
        <v>0.2083333333333333</v>
      </c>
      <c r="C16" s="24">
        <v>0.3125</v>
      </c>
      <c r="D16" s="24">
        <v>0.4270833333333333</v>
      </c>
      <c r="E16" s="24">
        <v>0.3423611111111111</v>
      </c>
    </row>
    <row r="17" ht="20.35" customHeight="1">
      <c r="A17" s="74">
        <v>44316</v>
      </c>
      <c r="B17" s="75">
        <v>0.2083333333333333</v>
      </c>
      <c r="C17" s="33">
        <v>0.3125</v>
      </c>
      <c r="D17" s="33">
        <v>0.4583333333333333</v>
      </c>
      <c r="E17" s="33">
        <v>0.3430555555555556</v>
      </c>
    </row>
    <row r="18" ht="20.35" customHeight="1">
      <c r="A18" s="76">
        <v>44319</v>
      </c>
      <c r="B18" s="77">
        <v>0.2083333333333333</v>
      </c>
      <c r="C18" s="16">
        <v>0.3125</v>
      </c>
      <c r="D18" s="16">
        <v>0.2222222222222222</v>
      </c>
      <c r="E18" s="16">
        <v>0.3236111111111111</v>
      </c>
    </row>
    <row r="19" ht="20.05" customHeight="1">
      <c r="A19" s="72">
        <v>44320</v>
      </c>
      <c r="B19" s="73">
        <v>0.2083333333333333</v>
      </c>
      <c r="C19" s="24">
        <v>0.3125</v>
      </c>
      <c r="D19" s="24">
        <v>0.25</v>
      </c>
      <c r="E19" s="24">
        <v>0.2798611111111111</v>
      </c>
    </row>
    <row r="20" ht="20.05" customHeight="1">
      <c r="A20" s="72">
        <v>44321</v>
      </c>
      <c r="B20" s="73">
        <v>0.2083333333333333</v>
      </c>
      <c r="C20" s="24">
        <v>0.3125</v>
      </c>
      <c r="D20" s="24">
        <v>0.2604166666666667</v>
      </c>
      <c r="E20" s="24">
        <v>0.2395833333333333</v>
      </c>
    </row>
    <row r="21" ht="20.05" customHeight="1">
      <c r="A21" s="72">
        <v>44322</v>
      </c>
      <c r="B21" s="73">
        <v>0.2083333333333333</v>
      </c>
      <c r="C21" s="24">
        <v>0.3125</v>
      </c>
      <c r="D21" s="21">
        <f>'Tracker'!D62</f>
        <v>0.2083333333333333</v>
      </c>
      <c r="E21" s="24">
        <v>0.2465277777777778</v>
      </c>
    </row>
    <row r="22" ht="20.35" customHeight="1">
      <c r="A22" s="74">
        <v>44323</v>
      </c>
      <c r="B22" s="75">
        <v>0.2083333333333333</v>
      </c>
      <c r="C22" s="33">
        <v>0.3125</v>
      </c>
      <c r="D22" s="33">
        <v>0.2569444444444444</v>
      </c>
      <c r="E22" s="33">
        <v>0.2680555555555555</v>
      </c>
    </row>
    <row r="23" ht="20.35" customHeight="1">
      <c r="A23" s="76">
        <v>44326</v>
      </c>
      <c r="B23" s="77">
        <v>0.2083333333333333</v>
      </c>
      <c r="C23" s="16">
        <v>0.3125</v>
      </c>
      <c r="D23" s="16">
        <v>0.2569444444444444</v>
      </c>
      <c r="E23" s="16">
        <v>0.2909722222222222</v>
      </c>
    </row>
    <row r="24" ht="20.05" customHeight="1">
      <c r="A24" s="72">
        <v>44327</v>
      </c>
      <c r="B24" s="73">
        <v>0.2083333333333333</v>
      </c>
      <c r="C24" s="24">
        <v>0.3125</v>
      </c>
      <c r="D24" s="24">
        <v>0.3576388888888889</v>
      </c>
      <c r="E24" s="24">
        <v>0.3097222222222222</v>
      </c>
    </row>
    <row r="25" ht="20.05" customHeight="1">
      <c r="A25" s="72">
        <v>44328</v>
      </c>
      <c r="B25" s="73">
        <v>0.2083333333333333</v>
      </c>
      <c r="C25" s="24">
        <v>0.3125</v>
      </c>
      <c r="D25" s="24">
        <v>0.375</v>
      </c>
      <c r="E25" s="24">
        <v>0.3118055555555556</v>
      </c>
    </row>
    <row r="26" ht="20.05" customHeight="1">
      <c r="A26" s="72">
        <v>44329</v>
      </c>
      <c r="B26" s="73">
        <v>0.2083333333333333</v>
      </c>
      <c r="C26" s="24">
        <v>0.3125</v>
      </c>
      <c r="D26" s="24">
        <v>0.3020833333333333</v>
      </c>
      <c r="E26" s="24">
        <v>0.30625</v>
      </c>
    </row>
    <row r="27" ht="20.35" customHeight="1">
      <c r="A27" s="74">
        <v>44330</v>
      </c>
      <c r="B27" s="75">
        <v>0.2083333333333333</v>
      </c>
      <c r="C27" s="33">
        <v>0.3125</v>
      </c>
      <c r="D27" s="33">
        <v>0.2673611111111111</v>
      </c>
      <c r="E27" s="33">
        <v>0.2666666666666667</v>
      </c>
    </row>
    <row r="28" ht="20.35" customHeight="1">
      <c r="A28" s="76">
        <v>44333</v>
      </c>
      <c r="B28" s="77">
        <v>0.2083333333333333</v>
      </c>
      <c r="C28" s="16">
        <v>0.3125</v>
      </c>
      <c r="D28" s="16">
        <f>'Tracker'!D84</f>
        <v>0.2291666666666667</v>
      </c>
      <c r="E28" s="16">
        <v>0.2493055555555556</v>
      </c>
    </row>
    <row r="29" ht="20.05" customHeight="1">
      <c r="A29" s="72">
        <v>44334</v>
      </c>
      <c r="B29" s="73">
        <v>0.2083333333333333</v>
      </c>
      <c r="C29" s="24">
        <v>0.3125</v>
      </c>
      <c r="D29" s="24">
        <v>0.1597222222222222</v>
      </c>
      <c r="E29" s="24">
        <v>0.2402777777777778</v>
      </c>
    </row>
    <row r="30" ht="20.05" customHeight="1">
      <c r="A30" s="72">
        <v>44335</v>
      </c>
      <c r="B30" s="73">
        <v>0.2083333333333333</v>
      </c>
      <c r="C30" s="24">
        <v>0.3125</v>
      </c>
      <c r="D30" s="24">
        <v>0.2881944444444444</v>
      </c>
      <c r="E30" s="24">
        <v>0.2375</v>
      </c>
    </row>
    <row r="31" ht="20.05" customHeight="1">
      <c r="A31" s="72">
        <v>44336</v>
      </c>
      <c r="B31" s="73">
        <v>0.2083333333333333</v>
      </c>
      <c r="C31" s="24">
        <v>0.3125</v>
      </c>
      <c r="D31" s="24">
        <v>0.2569444444444444</v>
      </c>
      <c r="E31" s="24">
        <v>0.24375</v>
      </c>
    </row>
    <row r="32" ht="20.35" customHeight="1">
      <c r="A32" s="74">
        <v>44337</v>
      </c>
      <c r="B32" s="75">
        <v>0.2083333333333333</v>
      </c>
      <c r="C32" s="33">
        <v>0.3125</v>
      </c>
      <c r="D32" s="33">
        <v>0.2534722222222222</v>
      </c>
      <c r="E32" s="33">
        <v>0.2631944444444445</v>
      </c>
    </row>
    <row r="33" ht="20.35" customHeight="1">
      <c r="A33" s="76">
        <v>44340</v>
      </c>
      <c r="B33" s="77">
        <v>0.2083333333333333</v>
      </c>
      <c r="C33" s="16">
        <v>0.3125</v>
      </c>
      <c r="D33" s="16">
        <v>0.2604166666666667</v>
      </c>
      <c r="E33" s="16">
        <v>0.2666666666666667</v>
      </c>
    </row>
    <row r="34" ht="20.05" customHeight="1">
      <c r="A34" s="72">
        <v>44341</v>
      </c>
      <c r="B34" s="73">
        <v>0.2083333333333333</v>
      </c>
      <c r="C34" s="24">
        <v>0.3125</v>
      </c>
      <c r="D34" s="24">
        <v>0.2569444444444444</v>
      </c>
      <c r="E34" s="24">
        <v>0.2777777777777778</v>
      </c>
    </row>
    <row r="35" ht="20.05" customHeight="1">
      <c r="A35" s="72">
        <v>44342</v>
      </c>
      <c r="B35" s="73">
        <v>0.2083333333333333</v>
      </c>
      <c r="C35" s="24">
        <v>0.3125</v>
      </c>
      <c r="D35" s="24">
        <v>0.3055555555555556</v>
      </c>
      <c r="E35" s="24">
        <v>0.2833333333333333</v>
      </c>
    </row>
    <row r="36" ht="20.05" customHeight="1">
      <c r="A36" s="72">
        <v>44343</v>
      </c>
      <c r="B36" s="73">
        <v>0.2083333333333333</v>
      </c>
      <c r="C36" s="24">
        <v>0.3125</v>
      </c>
      <c r="D36" s="24">
        <v>0.3125</v>
      </c>
      <c r="E36" s="24">
        <v>0.2659722222222222</v>
      </c>
    </row>
    <row r="37" ht="20.35" customHeight="1">
      <c r="A37" s="74">
        <v>44344</v>
      </c>
      <c r="B37" s="75">
        <v>0.2083333333333333</v>
      </c>
      <c r="C37" s="33">
        <v>0.3125</v>
      </c>
      <c r="D37" s="33">
        <v>0.28125</v>
      </c>
      <c r="E37" s="33">
        <v>0.2708333333333333</v>
      </c>
    </row>
    <row r="38" ht="20.35" customHeight="1">
      <c r="A38" s="76">
        <v>44347</v>
      </c>
      <c r="B38" s="77">
        <v>0.2083333333333333</v>
      </c>
      <c r="C38" s="16">
        <v>0.3125</v>
      </c>
      <c r="D38" s="16">
        <v>0.1736111111111111</v>
      </c>
      <c r="E38" s="16">
        <v>0.2597222222222222</v>
      </c>
    </row>
    <row r="39" ht="20.05" customHeight="1">
      <c r="A39" s="72">
        <v>44348</v>
      </c>
      <c r="B39" s="73">
        <v>0.2083333333333333</v>
      </c>
      <c r="C39" s="24">
        <v>0.3125</v>
      </c>
      <c r="D39" s="24">
        <v>0.28125</v>
      </c>
      <c r="E39" s="24">
        <v>0.2583333333333334</v>
      </c>
    </row>
    <row r="40" ht="20.05" customHeight="1">
      <c r="A40" s="72">
        <v>44349</v>
      </c>
      <c r="B40" s="73">
        <v>0.2083333333333333</v>
      </c>
      <c r="C40" s="24">
        <v>0.3125</v>
      </c>
      <c r="D40" s="21">
        <f>'Tracker'!D120</f>
        <v>0.25</v>
      </c>
      <c r="E40" s="24">
        <v>0.2645833333333333</v>
      </c>
    </row>
    <row r="41" ht="20.05" customHeight="1">
      <c r="A41" s="72">
        <v>44350</v>
      </c>
      <c r="B41" s="73">
        <v>0.2083333333333333</v>
      </c>
      <c r="C41" s="24">
        <v>0.3125</v>
      </c>
      <c r="D41" s="24">
        <v>0.3055555555555556</v>
      </c>
      <c r="E41" s="24">
        <v>0.2590277777777778</v>
      </c>
    </row>
    <row r="42" ht="20.35" customHeight="1">
      <c r="A42" s="74">
        <v>44351</v>
      </c>
      <c r="B42" s="75">
        <v>0.2083333333333333</v>
      </c>
      <c r="C42" s="33">
        <v>0.3125</v>
      </c>
      <c r="D42" s="33">
        <v>0.3125</v>
      </c>
      <c r="E42" s="33">
        <v>0.2444444444444444</v>
      </c>
    </row>
    <row r="43" ht="20.35" customHeight="1">
      <c r="A43" s="76">
        <v>44354</v>
      </c>
      <c r="B43" s="77">
        <v>0.2083333333333333</v>
      </c>
      <c r="C43" s="16">
        <v>0.3125</v>
      </c>
      <c r="D43" s="16">
        <f>'Tracker'!D127</f>
        <v>0.1458333333333333</v>
      </c>
      <c r="E43" s="16">
        <v>0.2423611111111111</v>
      </c>
    </row>
    <row r="44" ht="20.05" customHeight="1">
      <c r="A44" s="72">
        <v>44355</v>
      </c>
      <c r="B44" s="73">
        <v>0.2083333333333333</v>
      </c>
      <c r="C44" s="24">
        <v>0.3125</v>
      </c>
      <c r="D44" s="24">
        <v>0.2083333333333333</v>
      </c>
      <c r="E44" s="24">
        <v>0.2541666666666667</v>
      </c>
    </row>
    <row r="45" ht="20.05" customHeight="1">
      <c r="A45" s="72">
        <v>44356</v>
      </c>
      <c r="B45" s="73">
        <v>0.2083333333333333</v>
      </c>
      <c r="C45" s="24">
        <v>0.3125</v>
      </c>
      <c r="D45" s="24">
        <v>0.2395833333333333</v>
      </c>
      <c r="E45" s="24">
        <v>0.2506944444444444</v>
      </c>
    </row>
    <row r="46" ht="20.05" customHeight="1">
      <c r="A46" s="72">
        <v>44357</v>
      </c>
      <c r="B46" s="73">
        <v>0.2083333333333333</v>
      </c>
      <c r="C46" s="24">
        <v>0.3125</v>
      </c>
      <c r="D46" s="24">
        <v>0.3645833333333333</v>
      </c>
      <c r="E46" s="24">
        <v>0.2215277777777778</v>
      </c>
    </row>
    <row r="47" ht="20.35" customHeight="1">
      <c r="A47" s="74">
        <v>44358</v>
      </c>
      <c r="B47" s="75">
        <v>0.2083333333333333</v>
      </c>
      <c r="C47" s="33">
        <v>0.3125</v>
      </c>
      <c r="D47" s="33">
        <v>0.2951388888888889</v>
      </c>
      <c r="E47" s="33">
        <v>0.1881944444444444</v>
      </c>
    </row>
    <row r="48" ht="20.35" customHeight="1">
      <c r="A48" s="76">
        <v>44361</v>
      </c>
      <c r="B48" s="78">
        <v>0.2083333333333333</v>
      </c>
      <c r="C48" s="16">
        <v>0.3125</v>
      </c>
      <c r="D48" s="34">
        <f>'Tracker'!D139</f>
        <v>0</v>
      </c>
      <c r="E48" s="16">
        <v>0.1402777777777778</v>
      </c>
    </row>
    <row r="49" ht="20.05" customHeight="1">
      <c r="A49" s="72">
        <v>44362</v>
      </c>
      <c r="B49" s="52">
        <v>0.2083333333333333</v>
      </c>
      <c r="C49" s="24">
        <v>0.3125</v>
      </c>
      <c r="D49" s="24">
        <f>'Tracker'!D140</f>
        <v>0.04166666666666666</v>
      </c>
      <c r="E49" s="24">
        <v>0.06736111111111111</v>
      </c>
    </row>
    <row r="50" ht="20.05" customHeight="1">
      <c r="A50" s="72">
        <v>44363</v>
      </c>
      <c r="B50" s="52">
        <v>0.2083333333333333</v>
      </c>
      <c r="C50" s="24">
        <v>0.3125</v>
      </c>
      <c r="D50" s="25">
        <v>0</v>
      </c>
      <c r="E50" s="24">
        <v>0.02222222222222222</v>
      </c>
    </row>
    <row r="51" ht="20.05" customHeight="1">
      <c r="A51" s="72">
        <v>44364</v>
      </c>
      <c r="B51" s="52">
        <v>0.2083333333333333</v>
      </c>
      <c r="C51" s="24">
        <v>0.3125</v>
      </c>
      <c r="D51" s="25">
        <v>0</v>
      </c>
      <c r="E51" s="24">
        <v>0.08472222222222223</v>
      </c>
    </row>
    <row r="52" ht="20.35" customHeight="1">
      <c r="A52" s="74">
        <v>44365</v>
      </c>
      <c r="B52" s="79">
        <v>0.2083333333333333</v>
      </c>
      <c r="C52" s="33">
        <v>0.3125</v>
      </c>
      <c r="D52" s="33">
        <f>'Tracker'!D141</f>
        <v>0.06944444444444445</v>
      </c>
      <c r="E52" s="33">
        <v>0.1458333333333333</v>
      </c>
    </row>
    <row r="53" ht="20.35" customHeight="1">
      <c r="A53" s="76">
        <v>44368</v>
      </c>
      <c r="B53" s="78">
        <v>0.2083333333333333</v>
      </c>
      <c r="C53" s="16">
        <v>0.3125</v>
      </c>
      <c r="D53" s="16">
        <v>0.3125</v>
      </c>
      <c r="E53" s="16">
        <v>0.1625</v>
      </c>
    </row>
    <row r="54" ht="20.05" customHeight="1">
      <c r="A54" s="72">
        <v>44369</v>
      </c>
      <c r="B54" s="52">
        <v>0.2083333333333333</v>
      </c>
      <c r="C54" s="24">
        <v>0.3125</v>
      </c>
      <c r="D54" s="24">
        <v>0.3472222222222222</v>
      </c>
      <c r="E54" s="24">
        <v>0.21875</v>
      </c>
    </row>
    <row r="55" ht="20.05" customHeight="1">
      <c r="A55" s="72">
        <v>44370</v>
      </c>
      <c r="B55" s="52">
        <v>0.2083333333333333</v>
      </c>
      <c r="C55" s="24">
        <v>0.3125</v>
      </c>
      <c r="D55" s="24">
        <f>'Tracker'!D151</f>
        <v>0.08333333333333333</v>
      </c>
      <c r="E55" s="24">
        <v>0.2527777777777778</v>
      </c>
    </row>
    <row r="56" ht="20.05" customHeight="1">
      <c r="A56" s="72">
        <v>44371</v>
      </c>
      <c r="B56" s="52">
        <v>0.2083333333333333</v>
      </c>
      <c r="C56" s="24">
        <v>0.3125</v>
      </c>
      <c r="D56" s="24">
        <v>0.28125</v>
      </c>
      <c r="E56" s="24">
        <v>0.1902777777777778</v>
      </c>
    </row>
    <row r="57" ht="20.35" customHeight="1">
      <c r="A57" s="74">
        <v>44372</v>
      </c>
      <c r="B57" s="79">
        <v>0.2083333333333333</v>
      </c>
      <c r="C57" s="33">
        <v>0.3125</v>
      </c>
      <c r="D57" s="33">
        <v>0.2395833333333333</v>
      </c>
      <c r="E57" s="33">
        <v>0.1881944444444444</v>
      </c>
    </row>
    <row r="58" ht="20.35" customHeight="1">
      <c r="A58" s="76">
        <v>44375</v>
      </c>
      <c r="B58" s="78">
        <v>0.2083333333333333</v>
      </c>
      <c r="C58" s="16">
        <v>0.3125</v>
      </c>
      <c r="D58" s="16">
        <f>'Tracker'!D159</f>
        <v>0</v>
      </c>
      <c r="E58" s="16">
        <v>0.2319444444444445</v>
      </c>
    </row>
    <row r="59" ht="20.05" customHeight="1">
      <c r="A59" s="72">
        <v>44376</v>
      </c>
      <c r="B59" s="52">
        <v>0.2083333333333333</v>
      </c>
      <c r="C59" s="24">
        <v>0.3125</v>
      </c>
      <c r="D59" s="24">
        <v>0.3368055555555556</v>
      </c>
      <c r="E59" s="24">
        <v>0.2451388888888889</v>
      </c>
    </row>
    <row r="60" ht="20.05" customHeight="1">
      <c r="A60" s="72">
        <v>44377</v>
      </c>
      <c r="B60" s="52">
        <v>0.2083333333333333</v>
      </c>
      <c r="C60" s="24">
        <v>0.3125</v>
      </c>
      <c r="D60" s="24">
        <v>0.3020833333333333</v>
      </c>
      <c r="E60" s="24">
        <v>0.2451388888888889</v>
      </c>
    </row>
    <row r="61" ht="20.05" customHeight="1">
      <c r="A61" s="72">
        <v>44378</v>
      </c>
      <c r="B61" s="52">
        <v>0.2083333333333333</v>
      </c>
      <c r="C61" s="24">
        <v>0.3125</v>
      </c>
      <c r="D61" s="24">
        <v>0.3472222222222222</v>
      </c>
      <c r="E61" s="24">
        <v>0.2826388888888889</v>
      </c>
    </row>
    <row r="62" ht="20.35" customHeight="1">
      <c r="A62" s="74">
        <v>44379</v>
      </c>
      <c r="B62" s="79">
        <v>0.2083333333333333</v>
      </c>
      <c r="C62" s="33">
        <v>0.3125</v>
      </c>
      <c r="D62" s="33">
        <v>0.2395833333333333</v>
      </c>
      <c r="E62" s="33">
        <v>0.2680555555555555</v>
      </c>
    </row>
    <row r="63" ht="20.35" customHeight="1">
      <c r="A63" s="76">
        <v>44382</v>
      </c>
      <c r="B63" s="78">
        <v>0.2083333333333333</v>
      </c>
      <c r="C63" s="16">
        <v>0.3125</v>
      </c>
      <c r="D63" s="16">
        <v>0.1875</v>
      </c>
      <c r="E63" s="16">
        <v>0.2659722222222222</v>
      </c>
    </row>
    <row r="64" ht="20.05" customHeight="1">
      <c r="A64" s="72">
        <v>44383</v>
      </c>
      <c r="B64" s="52">
        <v>0.2083333333333333</v>
      </c>
      <c r="C64" s="24">
        <v>0.3125</v>
      </c>
      <c r="D64" s="24">
        <v>0.2638888888888889</v>
      </c>
      <c r="E64" s="24">
        <v>0.2736111111111111</v>
      </c>
    </row>
    <row r="65" ht="20.05" customHeight="1">
      <c r="A65" s="72">
        <v>44384</v>
      </c>
      <c r="B65" s="52">
        <v>0.2083333333333333</v>
      </c>
      <c r="C65" s="24">
        <v>0.3125</v>
      </c>
      <c r="D65" s="24">
        <v>0.2916666666666667</v>
      </c>
      <c r="E65" s="24">
        <v>0.2881944444444444</v>
      </c>
    </row>
    <row r="66" ht="20.05" customHeight="1">
      <c r="A66" s="72">
        <v>44385</v>
      </c>
      <c r="B66" s="52">
        <v>0.2083333333333333</v>
      </c>
      <c r="C66" s="24">
        <v>0.3125</v>
      </c>
      <c r="D66" s="24">
        <v>0.3854166666666667</v>
      </c>
      <c r="E66" s="24">
        <v>0.3006944444444444</v>
      </c>
    </row>
    <row r="67" ht="20.35" customHeight="1">
      <c r="A67" s="74">
        <v>44386</v>
      </c>
      <c r="B67" s="79">
        <v>0.2083333333333333</v>
      </c>
      <c r="C67" s="33">
        <v>0.3125</v>
      </c>
      <c r="D67" s="33">
        <v>0.3125</v>
      </c>
      <c r="E67" s="33">
        <v>0.2729166666666666</v>
      </c>
    </row>
    <row r="68" ht="20.35" customHeight="1">
      <c r="A68" s="76">
        <v>44389</v>
      </c>
      <c r="B68" s="78">
        <v>0.2083333333333333</v>
      </c>
      <c r="C68" s="16">
        <v>0.3125</v>
      </c>
      <c r="D68" s="16">
        <v>0.25</v>
      </c>
      <c r="E68" s="16">
        <v>0.2770833333333333</v>
      </c>
    </row>
    <row r="69" ht="20.05" customHeight="1">
      <c r="A69" s="72">
        <v>44390</v>
      </c>
      <c r="B69" s="52">
        <v>0.2083333333333333</v>
      </c>
      <c r="C69" s="24">
        <v>0.3125</v>
      </c>
      <c r="D69" s="24">
        <f>'Tracker'!D190</f>
        <v>0.125</v>
      </c>
      <c r="E69" s="24">
        <v>0.2444444444444444</v>
      </c>
    </row>
    <row r="70" ht="20.05" customHeight="1">
      <c r="A70" s="72">
        <v>44391</v>
      </c>
      <c r="B70" s="52">
        <v>0.2083333333333333</v>
      </c>
      <c r="C70" s="24">
        <v>0.3125</v>
      </c>
      <c r="D70" s="24">
        <v>0.3125</v>
      </c>
      <c r="E70" s="24">
        <v>0.2569444444444444</v>
      </c>
    </row>
    <row r="71" ht="20.05" customHeight="1">
      <c r="A71" s="72">
        <v>44392</v>
      </c>
      <c r="B71" s="52">
        <v>0.2083333333333333</v>
      </c>
      <c r="C71" s="24">
        <v>0.3125</v>
      </c>
      <c r="D71" s="24">
        <v>0.2222222222222222</v>
      </c>
      <c r="E71" s="24">
        <v>0.2590277777777778</v>
      </c>
    </row>
    <row r="72" ht="20.35" customHeight="1">
      <c r="A72" s="74">
        <v>44393</v>
      </c>
      <c r="B72" s="79">
        <v>0.2083333333333333</v>
      </c>
      <c r="C72" s="33">
        <v>0.3125</v>
      </c>
      <c r="D72" s="33">
        <v>0.375</v>
      </c>
      <c r="E72" s="33">
        <v>0.3027777777777778</v>
      </c>
    </row>
    <row r="73" ht="20.35" customHeight="1">
      <c r="A73" s="76">
        <v>44396</v>
      </c>
      <c r="B73" s="78">
        <v>0.2083333333333333</v>
      </c>
      <c r="C73" s="16">
        <v>0.3125</v>
      </c>
      <c r="D73" s="16">
        <v>0.2604166666666667</v>
      </c>
      <c r="E73" s="16">
        <v>0.2986111111111111</v>
      </c>
    </row>
    <row r="74" ht="20.05" customHeight="1">
      <c r="A74" s="72">
        <v>44397</v>
      </c>
      <c r="B74" s="52">
        <v>0.2083333333333333</v>
      </c>
      <c r="C74" s="24">
        <v>0.3125</v>
      </c>
      <c r="D74" s="24">
        <v>0.34375</v>
      </c>
      <c r="E74" s="24">
        <v>0.2708333333333333</v>
      </c>
    </row>
    <row r="75" ht="20.05" customHeight="1">
      <c r="A75" s="72">
        <v>44398</v>
      </c>
      <c r="B75" s="52">
        <v>0.2083333333333333</v>
      </c>
      <c r="C75" s="24">
        <v>0.3125</v>
      </c>
      <c r="D75" s="24">
        <v>0.2916666666666667</v>
      </c>
      <c r="E75" s="24"/>
    </row>
    <row r="76" ht="20.05" customHeight="1">
      <c r="A76" s="72">
        <v>44399</v>
      </c>
      <c r="B76" s="52">
        <v>0.2083333333333333</v>
      </c>
      <c r="C76" s="24">
        <v>0.3125</v>
      </c>
      <c r="D76" s="24">
        <f>'Tracker'!D209</f>
        <v>0.08333333333333333</v>
      </c>
      <c r="E76" s="24"/>
    </row>
    <row r="77" ht="20.25" customHeight="1">
      <c r="A77" s="80">
        <v>44400</v>
      </c>
      <c r="B77" s="54">
        <v>0.2083333333333333</v>
      </c>
      <c r="C77" s="39">
        <v>0.3125</v>
      </c>
      <c r="D77" s="39"/>
      <c r="E77" s="39"/>
    </row>
    <row r="78" ht="20.25" customHeight="1">
      <c r="A78" t="s" s="41">
        <v>299</v>
      </c>
      <c r="B78" s="42"/>
      <c r="C78" s="42"/>
      <c r="D78" s="43">
        <f>AVERAGE(D3:D77)</f>
        <v>0.2528153153153153</v>
      </c>
      <c r="E78" s="42"/>
    </row>
  </sheetData>
  <mergeCells count="1">
    <mergeCell ref="A1:E1"/>
  </mergeCells>
  <conditionalFormatting sqref="D3:D77">
    <cfRule type="cellIs" dxfId="0" priority="1" operator="lessThan" stopIfTrue="1">
      <formula>B$3</formula>
    </cfRule>
    <cfRule type="cellIs" dxfId="1" priority="2" operator="greaterThan" stopIfTrue="1">
      <formula>C$3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